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codeName="ThisWorkbook" defaultThemeVersion="202300"/>
  <mc:AlternateContent xmlns:mc="http://schemas.openxmlformats.org/markup-compatibility/2006">
    <mc:Choice Requires="x15">
      <x15ac:absPath xmlns:x15ac="http://schemas.microsoft.com/office/spreadsheetml/2010/11/ac" url="C:\Users\HP\Desktop\2025\3. March\4. CBA Paper\1. CBA - Benefit\"/>
    </mc:Choice>
  </mc:AlternateContent>
  <xr:revisionPtr revIDLastSave="0" documentId="13_ncr:1_{3ACD5E3D-3710-4276-B2B8-B4005B845254}" xr6:coauthVersionLast="47" xr6:coauthVersionMax="47" xr10:uidLastSave="{00000000-0000-0000-0000-000000000000}"/>
  <bookViews>
    <workbookView xWindow="-96" yWindow="0" windowWidth="11712" windowHeight="12336" firstSheet="5" activeTab="5" xr2:uid="{004BC5B2-497F-477F-890D-64F3C05F970B}"/>
  </bookViews>
  <sheets>
    <sheet name="Cover" sheetId="9" r:id="rId1"/>
    <sheet name="1. Direct Cost Savings" sheetId="5" r:id="rId2"/>
    <sheet name="2. Indirect Cost Savings" sheetId="4" r:id="rId3"/>
    <sheet name="3. Intangible Cost Savings" sheetId="6" r:id="rId4"/>
    <sheet name="4. Provider Cost Difference" sheetId="7" r:id="rId5"/>
    <sheet name="5. Discounted Future Income" sheetId="3" r:id="rId6"/>
    <sheet name="6. Societal Costs" sheetId="1" r:id="rId7"/>
    <sheet name="7. National Cost Savings" sheetId="8" r:id="rId8"/>
    <sheet name="8. Sensitivity Analysis" sheetId="10" r:id="rId9"/>
  </sheets>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10" l="1"/>
  <c r="B17" i="3"/>
  <c r="B9" i="4" l="1"/>
  <c r="B42" i="3" l="1"/>
  <c r="H29" i="5"/>
  <c r="G29" i="5"/>
  <c r="H28" i="5"/>
  <c r="G28" i="5"/>
  <c r="H27" i="5"/>
  <c r="G27" i="5"/>
  <c r="H26" i="5"/>
  <c r="G26" i="5"/>
  <c r="H25" i="5"/>
  <c r="G25" i="5"/>
  <c r="C29" i="5"/>
  <c r="B29" i="5"/>
  <c r="C4" i="6"/>
  <c r="G116" i="1"/>
  <c r="F116" i="1"/>
  <c r="E116" i="1"/>
  <c r="G114" i="1"/>
  <c r="F114" i="1"/>
  <c r="E114" i="1"/>
  <c r="G95" i="1"/>
  <c r="F95" i="1"/>
  <c r="E95" i="1"/>
  <c r="G93" i="1"/>
  <c r="F93" i="1"/>
  <c r="E93" i="1"/>
  <c r="G72" i="1"/>
  <c r="F72" i="1"/>
  <c r="E72" i="1"/>
  <c r="G70" i="1"/>
  <c r="F70" i="1"/>
  <c r="E70" i="1"/>
  <c r="F47" i="1"/>
  <c r="G47" i="1"/>
  <c r="F45" i="1"/>
  <c r="G45" i="1"/>
  <c r="E47" i="1"/>
  <c r="E45" i="1"/>
  <c r="E23" i="1"/>
  <c r="E21" i="1"/>
  <c r="K73" i="3"/>
  <c r="G74" i="3"/>
  <c r="M74" i="3" s="1"/>
  <c r="D43" i="3"/>
  <c r="G43" i="3" s="1"/>
  <c r="H42" i="3"/>
  <c r="K42" i="3" s="1"/>
  <c r="N42" i="3" s="1"/>
  <c r="Q42" i="3" s="1"/>
  <c r="E42" i="3"/>
  <c r="D88" i="7"/>
  <c r="C88" i="7"/>
  <c r="B88" i="7"/>
  <c r="D87" i="7"/>
  <c r="C87" i="7"/>
  <c r="B87" i="7"/>
  <c r="D85" i="7"/>
  <c r="C85" i="7"/>
  <c r="B85" i="7"/>
  <c r="D83" i="7"/>
  <c r="C83" i="7"/>
  <c r="B83" i="7"/>
  <c r="D79" i="7"/>
  <c r="C79" i="7"/>
  <c r="B79" i="7"/>
  <c r="D77" i="7"/>
  <c r="C77" i="7"/>
  <c r="B77" i="7"/>
  <c r="B53" i="7"/>
  <c r="B52" i="7"/>
  <c r="B50" i="7"/>
  <c r="B49" i="7"/>
  <c r="B34" i="7"/>
  <c r="B33" i="7"/>
  <c r="B31" i="7"/>
  <c r="B30" i="7"/>
  <c r="B28" i="7"/>
  <c r="B27" i="7"/>
  <c r="B11" i="7"/>
  <c r="B10" i="7"/>
  <c r="F20" i="6"/>
  <c r="G20" i="6"/>
  <c r="E20" i="6"/>
  <c r="F16" i="6"/>
  <c r="G16" i="6"/>
  <c r="E16" i="6"/>
  <c r="C5" i="6"/>
  <c r="C6" i="6"/>
  <c r="C8" i="6"/>
  <c r="C9" i="6"/>
  <c r="C10" i="6"/>
  <c r="B16" i="4"/>
  <c r="C38" i="4"/>
  <c r="C37" i="4"/>
  <c r="F82" i="4"/>
  <c r="G82" i="4"/>
  <c r="F83" i="4"/>
  <c r="G83" i="4"/>
  <c r="E83" i="4"/>
  <c r="E82" i="4"/>
  <c r="F74" i="4"/>
  <c r="G74" i="4"/>
  <c r="F75" i="4"/>
  <c r="G75" i="4"/>
  <c r="E75" i="4"/>
  <c r="E74" i="4"/>
  <c r="F64" i="4"/>
  <c r="F65" i="4"/>
  <c r="E65" i="4"/>
  <c r="E64" i="4"/>
  <c r="F54" i="4"/>
  <c r="G54" i="4"/>
  <c r="F55" i="4"/>
  <c r="G55" i="4"/>
  <c r="E55" i="4"/>
  <c r="E54" i="4"/>
  <c r="F42" i="5"/>
  <c r="G42" i="5"/>
  <c r="F43" i="5"/>
  <c r="G43" i="5"/>
  <c r="F44" i="5"/>
  <c r="G44" i="5"/>
  <c r="F45" i="5"/>
  <c r="G45" i="5"/>
  <c r="E43" i="5"/>
  <c r="E44" i="5"/>
  <c r="E45" i="5"/>
  <c r="E42" i="5"/>
  <c r="F35" i="5"/>
  <c r="G35" i="5"/>
  <c r="F36" i="5"/>
  <c r="G36" i="5"/>
  <c r="F37" i="5"/>
  <c r="G37" i="5"/>
  <c r="F38" i="5"/>
  <c r="G38" i="5"/>
  <c r="E36" i="5"/>
  <c r="E37" i="5"/>
  <c r="E38" i="5"/>
  <c r="E35" i="5"/>
  <c r="J25" i="5"/>
  <c r="K25" i="5"/>
  <c r="J26" i="5"/>
  <c r="K26" i="5"/>
  <c r="J27" i="5"/>
  <c r="K27" i="5"/>
  <c r="J28" i="5"/>
  <c r="K28" i="5"/>
  <c r="I26" i="5"/>
  <c r="I27" i="5"/>
  <c r="I28" i="5"/>
  <c r="I25" i="5"/>
  <c r="F15" i="5"/>
  <c r="G15" i="5"/>
  <c r="F16" i="5"/>
  <c r="G16" i="5"/>
  <c r="F17" i="5"/>
  <c r="G17" i="5"/>
  <c r="F18" i="5"/>
  <c r="G18" i="5"/>
  <c r="E16" i="5"/>
  <c r="E17" i="5"/>
  <c r="E18" i="5"/>
  <c r="E15" i="5"/>
  <c r="F5" i="5"/>
  <c r="G5" i="5"/>
  <c r="F6" i="5"/>
  <c r="G6" i="5"/>
  <c r="F7" i="5"/>
  <c r="G7" i="5"/>
  <c r="F8" i="5"/>
  <c r="G8" i="5"/>
  <c r="E6" i="5"/>
  <c r="E7" i="5"/>
  <c r="E8" i="5"/>
  <c r="E5" i="5"/>
  <c r="J43" i="3" l="1"/>
  <c r="M43" i="3"/>
  <c r="P43" i="3" s="1"/>
  <c r="B26" i="10"/>
  <c r="B24" i="10"/>
  <c r="E28" i="10" s="1"/>
  <c r="B15" i="10"/>
  <c r="B13" i="10"/>
  <c r="E18" i="10" s="1"/>
  <c r="B2" i="10"/>
  <c r="B4" i="10"/>
  <c r="C10" i="8"/>
  <c r="B8" i="8"/>
  <c r="C8" i="8"/>
  <c r="D8" i="8"/>
  <c r="E17" i="10" l="1"/>
  <c r="E21" i="10"/>
  <c r="E20" i="10"/>
  <c r="E16" i="10"/>
  <c r="E30" i="10"/>
  <c r="E26" i="10"/>
  <c r="E27" i="10"/>
  <c r="E19" i="10"/>
  <c r="E15" i="10"/>
  <c r="E29" i="10"/>
  <c r="E32" i="10"/>
  <c r="E31" i="10"/>
  <c r="E14" i="10"/>
  <c r="E25" i="10"/>
  <c r="E3" i="10"/>
  <c r="E8" i="10"/>
  <c r="E4" i="10"/>
  <c r="E7" i="10"/>
  <c r="E9" i="10"/>
  <c r="E5" i="10"/>
  <c r="E10" i="10"/>
  <c r="E6" i="10"/>
  <c r="C114" i="1" l="1"/>
  <c r="D114" i="1"/>
  <c r="B114" i="1"/>
  <c r="B109" i="1"/>
  <c r="E109" i="1" s="1"/>
  <c r="C109" i="1"/>
  <c r="F109" i="1" s="1"/>
  <c r="D109" i="1"/>
  <c r="G109" i="1" s="1"/>
  <c r="C108" i="1"/>
  <c r="F108" i="1" s="1"/>
  <c r="D108" i="1"/>
  <c r="G108" i="1" s="1"/>
  <c r="B108" i="1"/>
  <c r="E108" i="1" s="1"/>
  <c r="C105" i="1"/>
  <c r="F105" i="1" s="1"/>
  <c r="D105" i="1"/>
  <c r="G105" i="1" s="1"/>
  <c r="B105" i="1"/>
  <c r="E105" i="1" s="1"/>
  <c r="B103" i="1"/>
  <c r="E103" i="1" s="1"/>
  <c r="C103" i="1"/>
  <c r="F103" i="1" s="1"/>
  <c r="D103" i="1"/>
  <c r="G103" i="1" s="1"/>
  <c r="B104" i="1"/>
  <c r="E104" i="1" s="1"/>
  <c r="C104" i="1"/>
  <c r="F104" i="1" s="1"/>
  <c r="D104" i="1"/>
  <c r="G104" i="1" s="1"/>
  <c r="C102" i="1"/>
  <c r="F102" i="1" s="1"/>
  <c r="D102" i="1"/>
  <c r="G102" i="1" s="1"/>
  <c r="B102" i="1"/>
  <c r="E102" i="1" s="1"/>
  <c r="C93" i="1"/>
  <c r="D93" i="1"/>
  <c r="B93" i="1"/>
  <c r="B88" i="1"/>
  <c r="E88" i="1" s="1"/>
  <c r="C88" i="1"/>
  <c r="F88" i="1" s="1"/>
  <c r="D88" i="1"/>
  <c r="G88" i="1" s="1"/>
  <c r="C87" i="1"/>
  <c r="F87" i="1" s="1"/>
  <c r="D87" i="1"/>
  <c r="G87" i="1" s="1"/>
  <c r="B87" i="1"/>
  <c r="E87" i="1" s="1"/>
  <c r="B82" i="1"/>
  <c r="E82" i="1" s="1"/>
  <c r="C82" i="1"/>
  <c r="F82" i="1" s="1"/>
  <c r="D82" i="1"/>
  <c r="G82" i="1" s="1"/>
  <c r="B83" i="1"/>
  <c r="E83" i="1" s="1"/>
  <c r="C83" i="1"/>
  <c r="F83" i="1" s="1"/>
  <c r="D83" i="1"/>
  <c r="G83" i="1" s="1"/>
  <c r="B84" i="1"/>
  <c r="E84" i="1" s="1"/>
  <c r="C84" i="1"/>
  <c r="F84" i="1" s="1"/>
  <c r="D84" i="1"/>
  <c r="G84" i="1" s="1"/>
  <c r="C81" i="1"/>
  <c r="F81" i="1" s="1"/>
  <c r="D81" i="1"/>
  <c r="G81" i="1" s="1"/>
  <c r="B81" i="1"/>
  <c r="E81" i="1" s="1"/>
  <c r="C70" i="7"/>
  <c r="C95" i="1" s="1"/>
  <c r="D70" i="7"/>
  <c r="D95" i="1" s="1"/>
  <c r="C71" i="7"/>
  <c r="C116" i="1" s="1"/>
  <c r="B71" i="7"/>
  <c r="B116" i="1" s="1"/>
  <c r="B70" i="7"/>
  <c r="B95" i="1" s="1"/>
  <c r="D68" i="7"/>
  <c r="D71" i="7" s="1"/>
  <c r="D116" i="1" s="1"/>
  <c r="D84" i="4"/>
  <c r="C84" i="4"/>
  <c r="B84" i="4"/>
  <c r="D76" i="4"/>
  <c r="C76" i="4"/>
  <c r="B76" i="4"/>
  <c r="D80" i="4"/>
  <c r="C80" i="4"/>
  <c r="B80" i="4"/>
  <c r="C72" i="4"/>
  <c r="C14" i="6" s="1"/>
  <c r="D72" i="4"/>
  <c r="D14" i="6" s="1"/>
  <c r="B72" i="4"/>
  <c r="B14" i="6" s="1"/>
  <c r="D46" i="5"/>
  <c r="C46" i="5"/>
  <c r="B46" i="5"/>
  <c r="D39" i="5"/>
  <c r="C39" i="5"/>
  <c r="B39" i="5"/>
  <c r="C64" i="1"/>
  <c r="F64" i="1" s="1"/>
  <c r="B64" i="1"/>
  <c r="E64" i="1" s="1"/>
  <c r="C63" i="1"/>
  <c r="F63" i="1" s="1"/>
  <c r="B63" i="1"/>
  <c r="E63" i="1" s="1"/>
  <c r="C39" i="1"/>
  <c r="F39" i="1" s="1"/>
  <c r="D39" i="1"/>
  <c r="G39" i="1" s="1"/>
  <c r="B39" i="1"/>
  <c r="E39" i="1" s="1"/>
  <c r="B7" i="1"/>
  <c r="E7" i="1" s="1"/>
  <c r="C66" i="4"/>
  <c r="B66" i="4"/>
  <c r="C56" i="4"/>
  <c r="D56" i="4"/>
  <c r="G56" i="4" s="1"/>
  <c r="B56" i="4"/>
  <c r="E56" i="4" s="1"/>
  <c r="G36" i="3"/>
  <c r="M36" i="3" s="1"/>
  <c r="C23" i="4"/>
  <c r="C25" i="4" s="1"/>
  <c r="D23" i="4"/>
  <c r="D25" i="4" s="1"/>
  <c r="B23" i="4"/>
  <c r="B25" i="4" s="1"/>
  <c r="C9" i="4"/>
  <c r="C13" i="4" s="1"/>
  <c r="D9" i="4"/>
  <c r="D13" i="4" s="1"/>
  <c r="B13" i="4"/>
  <c r="D5" i="3"/>
  <c r="G5" i="3" s="1"/>
  <c r="D15" i="4"/>
  <c r="D16" i="4" s="1"/>
  <c r="C15" i="4"/>
  <c r="C22" i="7"/>
  <c r="C19" i="7"/>
  <c r="C16" i="7"/>
  <c r="C12" i="4"/>
  <c r="D12" i="4"/>
  <c r="B12" i="4"/>
  <c r="B14" i="4" l="1"/>
  <c r="F56" i="4"/>
  <c r="B47" i="1"/>
  <c r="C27" i="7"/>
  <c r="C47" i="1"/>
  <c r="C30" i="7"/>
  <c r="D47" i="1"/>
  <c r="C33" i="7"/>
  <c r="B3" i="3"/>
  <c r="C16" i="4"/>
  <c r="C65" i="1"/>
  <c r="F65" i="1" s="1"/>
  <c r="F66" i="4"/>
  <c r="B110" i="1"/>
  <c r="E110" i="1" s="1"/>
  <c r="E84" i="4"/>
  <c r="B89" i="1"/>
  <c r="E89" i="1" s="1"/>
  <c r="E76" i="4"/>
  <c r="C110" i="1"/>
  <c r="F110" i="1" s="1"/>
  <c r="F84" i="4"/>
  <c r="C89" i="1"/>
  <c r="F89" i="1" s="1"/>
  <c r="F76" i="4"/>
  <c r="D110" i="1"/>
  <c r="G110" i="1" s="1"/>
  <c r="G84" i="4"/>
  <c r="B65" i="1"/>
  <c r="E65" i="1" s="1"/>
  <c r="E66" i="4"/>
  <c r="D89" i="1"/>
  <c r="G89" i="1" s="1"/>
  <c r="G76" i="4"/>
  <c r="B106" i="1"/>
  <c r="E106" i="1" s="1"/>
  <c r="E46" i="5"/>
  <c r="B85" i="1"/>
  <c r="E85" i="1" s="1"/>
  <c r="E39" i="5"/>
  <c r="C106" i="1"/>
  <c r="F106" i="1" s="1"/>
  <c r="F46" i="5"/>
  <c r="C85" i="1"/>
  <c r="F85" i="1" s="1"/>
  <c r="F39" i="5"/>
  <c r="D106" i="1"/>
  <c r="G106" i="1" s="1"/>
  <c r="G46" i="5"/>
  <c r="D85" i="1"/>
  <c r="G85" i="1" s="1"/>
  <c r="G39" i="5"/>
  <c r="M5" i="3"/>
  <c r="P5" i="3" s="1"/>
  <c r="J5" i="3"/>
  <c r="C14" i="4"/>
  <c r="D14" i="4"/>
  <c r="H20" i="3" l="1"/>
  <c r="H58" i="3" s="1"/>
  <c r="E32" i="3"/>
  <c r="K32" i="3"/>
  <c r="K70" i="3" s="1"/>
  <c r="E33" i="3"/>
  <c r="E71" i="3" s="1"/>
  <c r="B22" i="3"/>
  <c r="B60" i="3" s="1"/>
  <c r="E31" i="3"/>
  <c r="K31" i="3"/>
  <c r="K69" i="3" s="1"/>
  <c r="K30" i="3"/>
  <c r="K5" i="3"/>
  <c r="D91" i="4"/>
  <c r="D93" i="4" s="1"/>
  <c r="E5" i="3"/>
  <c r="C91" i="4"/>
  <c r="C93" i="4" s="1"/>
  <c r="Q5" i="3"/>
  <c r="B91" i="4"/>
  <c r="B93" i="4" s="1"/>
  <c r="Q26" i="3"/>
  <c r="Q64" i="3" s="1"/>
  <c r="B41" i="3"/>
  <c r="E41" i="3" s="1"/>
  <c r="H41" i="3" s="1"/>
  <c r="K41" i="3" s="1"/>
  <c r="N41" i="3" s="1"/>
  <c r="Q41" i="3" s="1"/>
  <c r="B27" i="4"/>
  <c r="N5" i="3"/>
  <c r="C27" i="4"/>
  <c r="B5" i="3"/>
  <c r="D27" i="4"/>
  <c r="H5" i="3"/>
  <c r="E43" i="3" l="1"/>
  <c r="D72" i="3" s="1"/>
  <c r="D34" i="3"/>
  <c r="E34" i="3" s="1"/>
  <c r="E72" i="3" s="1"/>
  <c r="H43" i="3"/>
  <c r="G59" i="3" s="1"/>
  <c r="G21" i="3"/>
  <c r="H21" i="3" s="1"/>
  <c r="H59" i="3" s="1"/>
  <c r="N43" i="3"/>
  <c r="M52" i="3" s="1"/>
  <c r="M14" i="3"/>
  <c r="N14" i="3" s="1"/>
  <c r="N52" i="3" s="1"/>
  <c r="Q43" i="3"/>
  <c r="P65" i="3" s="1"/>
  <c r="P27" i="3"/>
  <c r="Q27" i="3" s="1"/>
  <c r="Q65" i="3" s="1"/>
  <c r="K43" i="3"/>
  <c r="J71" i="3" s="1"/>
  <c r="J33" i="3"/>
  <c r="K33" i="3" s="1"/>
  <c r="K71" i="3" s="1"/>
  <c r="B43" i="3"/>
  <c r="A61" i="3" s="1"/>
  <c r="A23" i="3"/>
  <c r="B23" i="3" s="1"/>
  <c r="B61" i="3" s="1"/>
  <c r="D10" i="8"/>
  <c r="B10" i="8"/>
  <c r="D53" i="1"/>
  <c r="C53" i="1"/>
  <c r="B53" i="1"/>
  <c r="C45" i="1"/>
  <c r="D45" i="1"/>
  <c r="B45" i="1"/>
  <c r="B32" i="1"/>
  <c r="E32" i="1" s="1"/>
  <c r="C8" i="1"/>
  <c r="F8" i="1" s="1"/>
  <c r="D8" i="1"/>
  <c r="G8" i="1" s="1"/>
  <c r="F29" i="5"/>
  <c r="K29" i="5" s="1"/>
  <c r="B21" i="1"/>
  <c r="D70" i="1" s="1"/>
  <c r="B3" i="1"/>
  <c r="C43" i="7" l="1"/>
  <c r="C40" i="7"/>
  <c r="C70" i="1"/>
  <c r="B70" i="1"/>
  <c r="D33" i="1"/>
  <c r="G33" i="1" s="1"/>
  <c r="D34" i="1"/>
  <c r="G34" i="1" s="1"/>
  <c r="D35" i="1"/>
  <c r="G35" i="1" s="1"/>
  <c r="D32" i="1"/>
  <c r="G32" i="1" s="1"/>
  <c r="B33" i="1"/>
  <c r="E33" i="1" s="1"/>
  <c r="C33" i="1"/>
  <c r="F33" i="1" s="1"/>
  <c r="B34" i="1"/>
  <c r="E34" i="1" s="1"/>
  <c r="C34" i="1"/>
  <c r="F34" i="1" s="1"/>
  <c r="B35" i="1"/>
  <c r="E35" i="1" s="1"/>
  <c r="C35" i="1"/>
  <c r="F35" i="1" s="1"/>
  <c r="C32" i="1"/>
  <c r="F32" i="1" s="1"/>
  <c r="D7" i="1"/>
  <c r="G7" i="1" s="1"/>
  <c r="D9" i="1"/>
  <c r="G9" i="1" s="1"/>
  <c r="D6" i="1"/>
  <c r="G6" i="1" s="1"/>
  <c r="C7" i="1"/>
  <c r="F7" i="1" s="1"/>
  <c r="C9" i="1"/>
  <c r="F9" i="1" s="1"/>
  <c r="C6" i="1"/>
  <c r="F6" i="1" s="1"/>
  <c r="D57" i="1"/>
  <c r="G57" i="1" s="1"/>
  <c r="B8" i="1"/>
  <c r="B9" i="1"/>
  <c r="B6" i="1"/>
  <c r="D3" i="1"/>
  <c r="C3" i="1"/>
  <c r="B57" i="1"/>
  <c r="E57" i="1" s="1"/>
  <c r="C57" i="1"/>
  <c r="F57" i="1" s="1"/>
  <c r="B58" i="1"/>
  <c r="E58" i="1" s="1"/>
  <c r="C58" i="1"/>
  <c r="F58" i="1" s="1"/>
  <c r="B59" i="1"/>
  <c r="E59" i="1" s="1"/>
  <c r="C59" i="1"/>
  <c r="F59" i="1" s="1"/>
  <c r="C56" i="1"/>
  <c r="F56" i="1" s="1"/>
  <c r="B56" i="1"/>
  <c r="E56" i="1" s="1"/>
  <c r="E29" i="5"/>
  <c r="D29" i="5"/>
  <c r="B19" i="5"/>
  <c r="E19" i="5" s="1"/>
  <c r="C19" i="5"/>
  <c r="F19" i="5" s="1"/>
  <c r="D19" i="5"/>
  <c r="G19" i="5" s="1"/>
  <c r="C9" i="5"/>
  <c r="F9" i="5" s="1"/>
  <c r="D9" i="5"/>
  <c r="G9" i="5" s="1"/>
  <c r="B9" i="5"/>
  <c r="E9" i="5" s="1"/>
  <c r="D59" i="1" l="1"/>
  <c r="G59" i="1" s="1"/>
  <c r="E9" i="1"/>
  <c r="D58" i="1"/>
  <c r="G58" i="1" s="1"/>
  <c r="E8" i="1"/>
  <c r="D56" i="1"/>
  <c r="G56" i="1" s="1"/>
  <c r="E6" i="1"/>
  <c r="B72" i="1"/>
  <c r="C49" i="7"/>
  <c r="C72" i="1"/>
  <c r="C52" i="7"/>
  <c r="C60" i="1"/>
  <c r="J29" i="5"/>
  <c r="B60" i="1"/>
  <c r="I29" i="5"/>
  <c r="B36" i="1"/>
  <c r="E36" i="1" s="1"/>
  <c r="D36" i="1"/>
  <c r="G36" i="1" s="1"/>
  <c r="C36" i="1"/>
  <c r="F36" i="1" s="1"/>
  <c r="D11" i="1"/>
  <c r="G11" i="1" s="1"/>
  <c r="D60" i="1"/>
  <c r="C11" i="1"/>
  <c r="F11" i="1" s="1"/>
  <c r="E3" i="3" l="1"/>
  <c r="H3" i="3" s="1"/>
  <c r="K3" i="3" s="1"/>
  <c r="N3" i="3" s="1"/>
  <c r="Q3" i="3" s="1"/>
  <c r="H4" i="3"/>
  <c r="K4" i="3" s="1"/>
  <c r="N4" i="3" s="1"/>
  <c r="Q4" i="3" s="1"/>
  <c r="E4" i="3"/>
  <c r="D38" i="1"/>
  <c r="G38" i="1" s="1"/>
  <c r="B14" i="1"/>
  <c r="B13" i="1"/>
  <c r="D63" i="1" l="1"/>
  <c r="G63" i="1" s="1"/>
  <c r="E13" i="1"/>
  <c r="D64" i="1"/>
  <c r="G64" i="1" s="1"/>
  <c r="E14" i="1"/>
  <c r="D40" i="1"/>
  <c r="G40" i="1" s="1"/>
  <c r="C38" i="1"/>
  <c r="F38" i="1" s="1"/>
  <c r="C40" i="1"/>
  <c r="F40" i="1" s="1"/>
  <c r="B40" i="1"/>
  <c r="E40" i="1" s="1"/>
  <c r="N10" i="3"/>
  <c r="N48" i="3" s="1"/>
  <c r="Q24" i="3"/>
  <c r="Q62" i="3" s="1"/>
  <c r="Q20" i="3"/>
  <c r="Q58" i="3" s="1"/>
  <c r="Q16" i="3"/>
  <c r="Q54" i="3" s="1"/>
  <c r="Q12" i="3"/>
  <c r="Q50" i="3" s="1"/>
  <c r="Q8" i="3"/>
  <c r="Q46" i="3" s="1"/>
  <c r="K23" i="3"/>
  <c r="K61" i="3" s="1"/>
  <c r="K27" i="3"/>
  <c r="K65" i="3" s="1"/>
  <c r="K16" i="3"/>
  <c r="K54" i="3" s="1"/>
  <c r="K12" i="3"/>
  <c r="K50" i="3" s="1"/>
  <c r="K8" i="3"/>
  <c r="E24" i="3"/>
  <c r="E62" i="3" s="1"/>
  <c r="E28" i="3"/>
  <c r="E66" i="3" s="1"/>
  <c r="E21" i="3"/>
  <c r="E59" i="3" s="1"/>
  <c r="E17" i="3"/>
  <c r="E55" i="3" s="1"/>
  <c r="E13" i="3"/>
  <c r="E51" i="3" s="1"/>
  <c r="E9" i="3"/>
  <c r="E47" i="3" s="1"/>
  <c r="N12" i="3"/>
  <c r="N50" i="3" s="1"/>
  <c r="N8" i="3"/>
  <c r="N46" i="3" s="1"/>
  <c r="Q18" i="3"/>
  <c r="Q56" i="3" s="1"/>
  <c r="Q10" i="3"/>
  <c r="Q48" i="3" s="1"/>
  <c r="K25" i="3"/>
  <c r="K63" i="3" s="1"/>
  <c r="K18" i="3"/>
  <c r="K56" i="3" s="1"/>
  <c r="K10" i="3"/>
  <c r="K48" i="3" s="1"/>
  <c r="E26" i="3"/>
  <c r="E64" i="3" s="1"/>
  <c r="E19" i="3"/>
  <c r="E57" i="3" s="1"/>
  <c r="E11" i="3"/>
  <c r="E49" i="3" s="1"/>
  <c r="N11" i="3"/>
  <c r="N49" i="3" s="1"/>
  <c r="Q21" i="3"/>
  <c r="Q59" i="3" s="1"/>
  <c r="Q13" i="3"/>
  <c r="Q51" i="3" s="1"/>
  <c r="K22" i="3"/>
  <c r="K60" i="3" s="1"/>
  <c r="K17" i="3"/>
  <c r="K55" i="3" s="1"/>
  <c r="K13" i="3"/>
  <c r="K51" i="3" s="1"/>
  <c r="E23" i="3"/>
  <c r="E61" i="3" s="1"/>
  <c r="E69" i="3"/>
  <c r="E14" i="3"/>
  <c r="E52" i="3" s="1"/>
  <c r="N13" i="3"/>
  <c r="N51" i="3" s="1"/>
  <c r="N9" i="3"/>
  <c r="N47" i="3" s="1"/>
  <c r="Q23" i="3"/>
  <c r="Q61" i="3" s="1"/>
  <c r="Q19" i="3"/>
  <c r="Q57" i="3" s="1"/>
  <c r="Q15" i="3"/>
  <c r="Q53" i="3" s="1"/>
  <c r="Q11" i="3"/>
  <c r="Q49" i="3" s="1"/>
  <c r="K20" i="3"/>
  <c r="K58" i="3" s="1"/>
  <c r="K24" i="3"/>
  <c r="K62" i="3" s="1"/>
  <c r="K28" i="3"/>
  <c r="K66" i="3" s="1"/>
  <c r="K19" i="3"/>
  <c r="K57" i="3" s="1"/>
  <c r="K15" i="3"/>
  <c r="K53" i="3" s="1"/>
  <c r="K11" i="3"/>
  <c r="K49" i="3" s="1"/>
  <c r="E70" i="3"/>
  <c r="E25" i="3"/>
  <c r="E63" i="3" s="1"/>
  <c r="E29" i="3"/>
  <c r="E67" i="3" s="1"/>
  <c r="E20" i="3"/>
  <c r="E58" i="3" s="1"/>
  <c r="E16" i="3"/>
  <c r="E54" i="3" s="1"/>
  <c r="E12" i="3"/>
  <c r="E50" i="3" s="1"/>
  <c r="E8" i="3"/>
  <c r="Q22" i="3"/>
  <c r="Q60" i="3" s="1"/>
  <c r="Q14" i="3"/>
  <c r="Q52" i="3" s="1"/>
  <c r="K21" i="3"/>
  <c r="K59" i="3" s="1"/>
  <c r="K29" i="3"/>
  <c r="K67" i="3" s="1"/>
  <c r="K14" i="3"/>
  <c r="K52" i="3" s="1"/>
  <c r="E22" i="3"/>
  <c r="E60" i="3" s="1"/>
  <c r="E30" i="3"/>
  <c r="E68" i="3" s="1"/>
  <c r="E15" i="3"/>
  <c r="E53" i="3" s="1"/>
  <c r="Q25" i="3"/>
  <c r="Q63" i="3" s="1"/>
  <c r="Q17" i="3"/>
  <c r="Q55" i="3" s="1"/>
  <c r="Q9" i="3"/>
  <c r="Q47" i="3" s="1"/>
  <c r="K26" i="3"/>
  <c r="K64" i="3" s="1"/>
  <c r="K68" i="3"/>
  <c r="K9" i="3"/>
  <c r="K47" i="3" s="1"/>
  <c r="E27" i="3"/>
  <c r="E65" i="3" s="1"/>
  <c r="E18" i="3"/>
  <c r="E56" i="3" s="1"/>
  <c r="E10" i="3"/>
  <c r="E48" i="3" s="1"/>
  <c r="B38" i="1"/>
  <c r="E38" i="1" s="1"/>
  <c r="C4" i="7"/>
  <c r="C10" i="7" s="1"/>
  <c r="B39" i="4"/>
  <c r="H19" i="3"/>
  <c r="H57" i="3" s="1"/>
  <c r="H15" i="3"/>
  <c r="H53" i="3" s="1"/>
  <c r="H11" i="3"/>
  <c r="H49" i="3" s="1"/>
  <c r="B11" i="3"/>
  <c r="B49" i="3" s="1"/>
  <c r="B15" i="3"/>
  <c r="B53" i="3" s="1"/>
  <c r="B19" i="3"/>
  <c r="B57" i="3" s="1"/>
  <c r="H18" i="3"/>
  <c r="H56" i="3" s="1"/>
  <c r="H14" i="3"/>
  <c r="H52" i="3" s="1"/>
  <c r="H10" i="3"/>
  <c r="H48" i="3" s="1"/>
  <c r="B12" i="3"/>
  <c r="B50" i="3" s="1"/>
  <c r="B16" i="3"/>
  <c r="B54" i="3" s="1"/>
  <c r="B20" i="3"/>
  <c r="B58" i="3" s="1"/>
  <c r="H17" i="3"/>
  <c r="H55" i="3" s="1"/>
  <c r="H13" i="3"/>
  <c r="H51" i="3" s="1"/>
  <c r="H9" i="3"/>
  <c r="H47" i="3" s="1"/>
  <c r="B9" i="3"/>
  <c r="B47" i="3" s="1"/>
  <c r="B13" i="3"/>
  <c r="B51" i="3" s="1"/>
  <c r="B55" i="3"/>
  <c r="B21" i="3"/>
  <c r="B59" i="3" s="1"/>
  <c r="H16" i="3"/>
  <c r="H54" i="3" s="1"/>
  <c r="H12" i="3"/>
  <c r="H50" i="3" s="1"/>
  <c r="H8" i="3"/>
  <c r="H46" i="3" s="1"/>
  <c r="B10" i="3"/>
  <c r="B48" i="3" s="1"/>
  <c r="B14" i="3"/>
  <c r="B52" i="3" s="1"/>
  <c r="B18" i="3"/>
  <c r="B56" i="3" s="1"/>
  <c r="B8" i="3"/>
  <c r="B11" i="1"/>
  <c r="E11" i="1" s="1"/>
  <c r="N53" i="3" l="1"/>
  <c r="K46" i="3"/>
  <c r="K72" i="3" s="1"/>
  <c r="K34" i="3"/>
  <c r="E46" i="3"/>
  <c r="E73" i="3" s="1"/>
  <c r="E74" i="3" s="1"/>
  <c r="E35" i="3"/>
  <c r="Q66" i="3"/>
  <c r="Q74" i="3" s="1"/>
  <c r="B46" i="3"/>
  <c r="B62" i="3" s="1"/>
  <c r="B24" i="3"/>
  <c r="H60" i="3"/>
  <c r="B15" i="1"/>
  <c r="C39" i="4"/>
  <c r="Q28" i="3"/>
  <c r="N15" i="3"/>
  <c r="B23" i="1"/>
  <c r="D72" i="1" s="1"/>
  <c r="H22" i="3"/>
  <c r="K74" i="3" l="1"/>
  <c r="D65" i="1"/>
  <c r="G65" i="1" s="1"/>
  <c r="E15" i="1"/>
  <c r="B28" i="4"/>
  <c r="B29" i="4" s="1"/>
  <c r="C28" i="4"/>
  <c r="C29" i="4" s="1"/>
  <c r="D28" i="4"/>
  <c r="D29" i="4" s="1"/>
  <c r="D17" i="4"/>
  <c r="D18" i="4" s="1"/>
  <c r="C17" i="4"/>
  <c r="C18" i="4" s="1"/>
  <c r="B17" i="4"/>
  <c r="B18" i="4" s="1"/>
  <c r="Q36" i="3"/>
  <c r="B30" i="4" s="1"/>
  <c r="B43" i="4" s="1"/>
  <c r="B57" i="4" s="1"/>
  <c r="E36" i="3"/>
  <c r="K36" i="3"/>
  <c r="C30" i="4" l="1"/>
  <c r="C43" i="4" s="1"/>
  <c r="C57" i="4" s="1"/>
  <c r="C58" i="4" s="1"/>
  <c r="D30" i="4"/>
  <c r="G43" i="4" l="1"/>
  <c r="C31" i="4"/>
  <c r="F43" i="4"/>
  <c r="B31" i="4"/>
  <c r="D43" i="4"/>
  <c r="D41" i="1" s="1"/>
  <c r="G41" i="1" s="1"/>
  <c r="D31" i="4"/>
  <c r="C41" i="1"/>
  <c r="F41" i="1" s="1"/>
  <c r="E57" i="4" l="1"/>
  <c r="B41" i="1"/>
  <c r="E41" i="1" s="1"/>
  <c r="H43" i="4"/>
  <c r="E43" i="4"/>
  <c r="B58" i="4"/>
  <c r="E58" i="4" s="1"/>
  <c r="D57" i="4"/>
  <c r="I43" i="4" l="1"/>
  <c r="B48" i="4"/>
  <c r="C48" i="4" s="1"/>
  <c r="C67" i="4"/>
  <c r="F67" i="4" s="1"/>
  <c r="B67" i="4"/>
  <c r="E67" i="4" s="1"/>
  <c r="B16" i="1"/>
  <c r="E16" i="1" s="1"/>
  <c r="B77" i="4"/>
  <c r="E77" i="4" s="1"/>
  <c r="F57" i="4"/>
  <c r="D58" i="4"/>
  <c r="G57" i="4"/>
  <c r="B43" i="1"/>
  <c r="B68" i="4" l="1"/>
  <c r="E68" i="4" s="1"/>
  <c r="C66" i="1"/>
  <c r="F66" i="1" s="1"/>
  <c r="C68" i="4"/>
  <c r="F68" i="4" s="1"/>
  <c r="B66" i="1"/>
  <c r="E66" i="1" s="1"/>
  <c r="C77" i="4"/>
  <c r="F77" i="4" s="1"/>
  <c r="D85" i="4"/>
  <c r="G85" i="4" s="1"/>
  <c r="B85" i="4"/>
  <c r="E85" i="4" s="1"/>
  <c r="B19" i="1"/>
  <c r="E19" i="1" s="1"/>
  <c r="B90" i="1"/>
  <c r="E90" i="1" s="1"/>
  <c r="B78" i="4"/>
  <c r="B91" i="1" s="1"/>
  <c r="C85" i="4"/>
  <c r="F85" i="4" s="1"/>
  <c r="D68" i="1"/>
  <c r="B49" i="1"/>
  <c r="E43" i="1"/>
  <c r="C43" i="1"/>
  <c r="F58" i="4"/>
  <c r="D43" i="1"/>
  <c r="G58" i="4"/>
  <c r="D66" i="1"/>
  <c r="G66" i="1" s="1"/>
  <c r="C68" i="1" l="1"/>
  <c r="C74" i="1" s="1"/>
  <c r="F74" i="1" s="1"/>
  <c r="D77" i="4"/>
  <c r="G77" i="4" s="1"/>
  <c r="C90" i="1"/>
  <c r="F90" i="1" s="1"/>
  <c r="B68" i="1"/>
  <c r="E68" i="1" s="1"/>
  <c r="D86" i="4"/>
  <c r="D112" i="1" s="1"/>
  <c r="C78" i="4"/>
  <c r="C91" i="1" s="1"/>
  <c r="E78" i="4"/>
  <c r="D111" i="1"/>
  <c r="G111" i="1" s="1"/>
  <c r="C86" i="4"/>
  <c r="F86" i="4" s="1"/>
  <c r="B111" i="1"/>
  <c r="E111" i="1" s="1"/>
  <c r="B25" i="1"/>
  <c r="E25" i="1" s="1"/>
  <c r="C25" i="1"/>
  <c r="F25" i="1" s="1"/>
  <c r="B86" i="4"/>
  <c r="E86" i="4" s="1"/>
  <c r="D25" i="1"/>
  <c r="G25" i="1" s="1"/>
  <c r="C111" i="1"/>
  <c r="F111" i="1" s="1"/>
  <c r="B97" i="1"/>
  <c r="E97" i="1" s="1"/>
  <c r="E91" i="1"/>
  <c r="B4" i="8"/>
  <c r="E49" i="1"/>
  <c r="F68" i="1"/>
  <c r="D49" i="1"/>
  <c r="G43" i="1"/>
  <c r="C49" i="1"/>
  <c r="F43" i="1"/>
  <c r="D74" i="1"/>
  <c r="G74" i="1" s="1"/>
  <c r="G68" i="1"/>
  <c r="D90" i="1" l="1"/>
  <c r="G90" i="1" s="1"/>
  <c r="D78" i="4"/>
  <c r="G78" i="4" s="1"/>
  <c r="B74" i="1"/>
  <c r="E74" i="1" s="1"/>
  <c r="F78" i="4"/>
  <c r="G86" i="4"/>
  <c r="C112" i="1"/>
  <c r="F112" i="1" s="1"/>
  <c r="B112" i="1"/>
  <c r="B118" i="1" s="1"/>
  <c r="E118" i="1" s="1"/>
  <c r="D118" i="1"/>
  <c r="G118" i="1" s="1"/>
  <c r="G112" i="1"/>
  <c r="C4" i="8"/>
  <c r="F49" i="1"/>
  <c r="B7" i="8"/>
  <c r="F7" i="8" s="1"/>
  <c r="F4" i="8"/>
  <c r="B3" i="10"/>
  <c r="B11" i="8"/>
  <c r="F11" i="8" s="1"/>
  <c r="C97" i="1"/>
  <c r="F97" i="1" s="1"/>
  <c r="F91" i="1"/>
  <c r="D4" i="8"/>
  <c r="G49" i="1"/>
  <c r="D91" i="1" l="1"/>
  <c r="C118" i="1"/>
  <c r="F118" i="1" s="1"/>
  <c r="E112" i="1"/>
  <c r="B25" i="10"/>
  <c r="H4" i="8"/>
  <c r="D11" i="8"/>
  <c r="D7" i="8"/>
  <c r="D97" i="1"/>
  <c r="G97" i="1" s="1"/>
  <c r="G91" i="1"/>
  <c r="F4" i="10"/>
  <c r="F10" i="10"/>
  <c r="G10" i="10" s="1"/>
  <c r="F5" i="10"/>
  <c r="G5" i="10" s="1"/>
  <c r="F3" i="10"/>
  <c r="F8" i="10"/>
  <c r="G8" i="10" s="1"/>
  <c r="F9" i="10"/>
  <c r="F6" i="10"/>
  <c r="G6" i="10" s="1"/>
  <c r="G4" i="8"/>
  <c r="B14" i="10"/>
  <c r="C11" i="8"/>
  <c r="G11" i="8" s="1"/>
  <c r="C7" i="8"/>
  <c r="G7" i="8" s="1"/>
  <c r="F18" i="10" l="1"/>
  <c r="G18" i="10" s="1"/>
  <c r="F20" i="10"/>
  <c r="G20" i="10" s="1"/>
  <c r="F17" i="10"/>
  <c r="G17" i="10" s="1"/>
  <c r="F16" i="10"/>
  <c r="F19" i="10"/>
  <c r="G19" i="10" s="1"/>
  <c r="F21" i="10"/>
  <c r="F14" i="10"/>
  <c r="G14" i="10" s="1"/>
  <c r="F15" i="10"/>
  <c r="G15" i="10" s="1"/>
  <c r="E7" i="8"/>
  <c r="I7" i="8" s="1"/>
  <c r="H7" i="8"/>
  <c r="G4" i="10"/>
  <c r="E11" i="8"/>
  <c r="H11" i="8"/>
  <c r="G3" i="10"/>
  <c r="G7" i="10"/>
  <c r="G9" i="10"/>
  <c r="F28" i="10"/>
  <c r="G28" i="10" s="1"/>
  <c r="F30" i="10"/>
  <c r="G30" i="10" s="1"/>
  <c r="F32" i="10"/>
  <c r="G32" i="10" s="1"/>
  <c r="F26" i="10"/>
  <c r="G26" i="10" s="1"/>
  <c r="F29" i="10"/>
  <c r="G29" i="10" s="1"/>
  <c r="F27" i="10"/>
  <c r="G27" i="10" s="1"/>
  <c r="F31" i="10"/>
  <c r="G31" i="10" s="1"/>
  <c r="F25" i="10"/>
  <c r="G25" i="10" s="1"/>
  <c r="L6" i="10" l="1"/>
  <c r="L8" i="10"/>
  <c r="I11" i="8"/>
  <c r="L3" i="10"/>
  <c r="L4" i="10"/>
  <c r="L5" i="10"/>
  <c r="G16" i="10"/>
  <c r="L7" i="10"/>
  <c r="L9" i="10"/>
  <c r="G21" i="10"/>
  <c r="M6" i="10" l="1"/>
  <c r="M8" i="10"/>
  <c r="M7" i="10"/>
  <c r="M3" i="10"/>
  <c r="M4" i="10"/>
  <c r="M9" i="10"/>
  <c r="M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A27" authorId="0" shapeId="0" xr:uid="{F5E2A06E-3D64-4D85-A84F-ECB40F2CEF71}">
      <text>
        <r>
          <rPr>
            <b/>
            <sz val="9"/>
            <color indexed="81"/>
            <rFont val="Tahoma"/>
            <family val="2"/>
          </rPr>
          <t>HP:</t>
        </r>
        <r>
          <rPr>
            <sz val="9"/>
            <color indexed="81"/>
            <rFont val="Tahoma"/>
            <family val="2"/>
          </rPr>
          <t xml:space="preserve">
healthy life lost</t>
        </r>
      </text>
    </comment>
  </commentList>
</comments>
</file>

<file path=xl/sharedStrings.xml><?xml version="1.0" encoding="utf-8"?>
<sst xmlns="http://schemas.openxmlformats.org/spreadsheetml/2006/main" count="663" uniqueCount="234">
  <si>
    <t>Cost Components</t>
  </si>
  <si>
    <t>Private</t>
  </si>
  <si>
    <t>Public</t>
  </si>
  <si>
    <t>Overall</t>
  </si>
  <si>
    <t>Accommodation and Food (including attendant)</t>
  </si>
  <si>
    <t>Other costs</t>
  </si>
  <si>
    <t>Total: direct costs</t>
  </si>
  <si>
    <t>Medical costs</t>
  </si>
  <si>
    <t>Attendant 1</t>
  </si>
  <si>
    <t>Transportation cost (including attendant)</t>
  </si>
  <si>
    <t>Indirect Cost</t>
  </si>
  <si>
    <t>Current Earning Loss</t>
  </si>
  <si>
    <t>Patient</t>
  </si>
  <si>
    <t xml:space="preserve">average life expectancy </t>
  </si>
  <si>
    <t>Oral</t>
  </si>
  <si>
    <t>Cervical</t>
  </si>
  <si>
    <t>Breast</t>
  </si>
  <si>
    <t>Stage when diagnosed</t>
  </si>
  <si>
    <t>Average Age</t>
  </si>
  <si>
    <t>Normal remaining life years</t>
  </si>
  <si>
    <t>Total earning loss per patient</t>
  </si>
  <si>
    <t>DALY</t>
  </si>
  <si>
    <t>Annual income</t>
  </si>
  <si>
    <t>Discount rate</t>
  </si>
  <si>
    <t>year</t>
  </si>
  <si>
    <t>Future income</t>
  </si>
  <si>
    <t>Cervical cancer - with screening</t>
  </si>
  <si>
    <t>Cervical cancer - without screening</t>
  </si>
  <si>
    <t>Total Future Income</t>
  </si>
  <si>
    <t>Oral cancer - without screening</t>
  </si>
  <si>
    <t>Income lost - Breast cancer - without screening</t>
  </si>
  <si>
    <t>Income lost - Breast cancer - with screening</t>
  </si>
  <si>
    <t>Oral cancer - with screening</t>
  </si>
  <si>
    <t>Total Indicrect cost</t>
  </si>
  <si>
    <t xml:space="preserve">Direct </t>
  </si>
  <si>
    <t>Indirect</t>
  </si>
  <si>
    <t>Difference</t>
  </si>
  <si>
    <t>N = 167</t>
  </si>
  <si>
    <t>Stage 3</t>
  </si>
  <si>
    <t xml:space="preserve"> Stage 4</t>
  </si>
  <si>
    <t>Stage 4</t>
  </si>
  <si>
    <t>In Total Population 2022</t>
  </si>
  <si>
    <t>Grand Total</t>
  </si>
  <si>
    <t>Assumptions</t>
  </si>
  <si>
    <t>Stage</t>
  </si>
  <si>
    <t>N =343</t>
  </si>
  <si>
    <t>N =98</t>
  </si>
  <si>
    <t>N =245</t>
  </si>
  <si>
    <t>N = 112</t>
  </si>
  <si>
    <t>N = 64</t>
  </si>
  <si>
    <t>Yearly Medical Cost</t>
  </si>
  <si>
    <t>N = 173</t>
  </si>
  <si>
    <t>N = 18</t>
  </si>
  <si>
    <t>Total: annual indirect costs</t>
  </si>
  <si>
    <t>Total: annual indirect costs per case</t>
  </si>
  <si>
    <t>Annual intangible cost per case</t>
  </si>
  <si>
    <t>Annual providers cost per case</t>
  </si>
  <si>
    <t>Annual Medical costs</t>
  </si>
  <si>
    <t>Annual Medical Cost</t>
  </si>
  <si>
    <t>Total: annual direct costs</t>
  </si>
  <si>
    <t>Total annual costs to society (per patient of cancer)</t>
  </si>
  <si>
    <t>Annual intangible cost</t>
  </si>
  <si>
    <t>Total National Burden of three types of cancer in Bangladesh in 2022</t>
  </si>
  <si>
    <t>Note 4: 79 cases do not know their stage</t>
  </si>
  <si>
    <t>Note 1: converted the total indirect costs to annual indirect costs</t>
  </si>
  <si>
    <t>Note 1: We used incidence rate instead of prevalence - incidence means new cases in a given time</t>
  </si>
  <si>
    <t>Note 2: Yearly incidence rate will decrease as a result of screening program. As new cases will be detected early stage, and will be treated so that the patient reaches full health (assumtion). So incidence will decreae</t>
  </si>
  <si>
    <t>Average Annual Societal Cost Per Cancer Case</t>
  </si>
  <si>
    <t>Newly Diagnosed Cancer Cases in 2022</t>
  </si>
  <si>
    <t>Proportion of Newly Diagnosed Cases</t>
  </si>
  <si>
    <t>Reduction in Cancer Incidence (%) Due to Screening Programs</t>
  </si>
  <si>
    <t>Projected Benefit from reduced incidence due to screening programme</t>
  </si>
  <si>
    <t>Projected Decline in Advanced Cancer Cases Through Screening in Bangladesh</t>
  </si>
  <si>
    <t>Patient's earning loss</t>
  </si>
  <si>
    <t>Attendant</t>
  </si>
  <si>
    <t>Total Indirect Cost</t>
  </si>
  <si>
    <t>Comments</t>
  </si>
  <si>
    <t>Advanced Stage</t>
  </si>
  <si>
    <t>Disability Weight</t>
  </si>
  <si>
    <t>Patient's Information</t>
  </si>
  <si>
    <t>Median Survival Years</t>
  </si>
  <si>
    <t>YLL with Screening</t>
  </si>
  <si>
    <t>DALY with Screening</t>
  </si>
  <si>
    <t>Advanced Stage (Without Screening)</t>
  </si>
  <si>
    <t>Early Stage (With Screening)</t>
  </si>
  <si>
    <t>Table 1: Average Life Expectancy in Bangladesh</t>
  </si>
  <si>
    <t>Table 3: Total Earning Loss Per Patient</t>
  </si>
  <si>
    <t>Table 3: Yearly Direct Cost - Stage-wise</t>
  </si>
  <si>
    <t>Table 2: Yearly Direct Cost - Disease-wise</t>
  </si>
  <si>
    <t>Table 1: Yearly Direct Cost - Ownership-wise</t>
  </si>
  <si>
    <t>Cancer Type</t>
  </si>
  <si>
    <t>Table 1: Yearly Intangible Costs</t>
  </si>
  <si>
    <t>Comment</t>
  </si>
  <si>
    <t xml:space="preserve">Public </t>
  </si>
  <si>
    <t>Annual providers cost per patient</t>
  </si>
  <si>
    <t>Table 1: National Projected Benefit from Screening Programme</t>
  </si>
  <si>
    <t>avg annual earning loss</t>
  </si>
  <si>
    <t>Years Lost due to Disability (YLD)</t>
  </si>
  <si>
    <t>Years of Life Lost (YLL)</t>
  </si>
  <si>
    <t>Early Stage</t>
  </si>
  <si>
    <t>Health Loss Averted due to Screening</t>
  </si>
  <si>
    <t>Table 4: Health Loss Averted due to Screening</t>
  </si>
  <si>
    <t>Sample weights of each cancer type</t>
  </si>
  <si>
    <t>Note 6: This is weighted average</t>
  </si>
  <si>
    <t>Attendant's Earning Loss</t>
  </si>
  <si>
    <t>Patient's Earning Loss</t>
  </si>
  <si>
    <t>Table 5: Total Indirect Cost Per Patient</t>
  </si>
  <si>
    <t>Total Earning Loss</t>
  </si>
  <si>
    <t>Table 6: Cancer Type-wise Indirect Cost Per Patient</t>
  </si>
  <si>
    <t>Note 2: Per capita income replaced missing wages of patients and attendants of all professions except elderly, unemployed and children</t>
  </si>
  <si>
    <t>Note: Sample Size 191</t>
  </si>
  <si>
    <t>Table 1: Overall Cost Difference Between Public and Private Provider</t>
  </si>
  <si>
    <t>Table 2: Disease-wise  Cost Difference Between Public and Private Provider</t>
  </si>
  <si>
    <t>Table 3: Stage-wise  Cost Difference Between Public and Private Provider</t>
  </si>
  <si>
    <t>Note 1: considering BCSH and Ahsanullah Medical as private</t>
  </si>
  <si>
    <t>Note 2: Annual Cost</t>
  </si>
  <si>
    <t>Table 1: Total Annual Costs to Society - Ownership-wise</t>
  </si>
  <si>
    <t>Table 2: Total Annual Cost to Society - Disease-wise</t>
  </si>
  <si>
    <t>Table 3: Total Annual Cost to Society - Stage-wise</t>
  </si>
  <si>
    <t>Total: annual indirect cost</t>
  </si>
  <si>
    <t>N = 34</t>
  </si>
  <si>
    <t>N = 79</t>
  </si>
  <si>
    <t>N = 60</t>
  </si>
  <si>
    <t>N = 5</t>
  </si>
  <si>
    <t>N = 7</t>
  </si>
  <si>
    <t>N = 6</t>
  </si>
  <si>
    <t>Table 4: Yearly Direct Cost - Disease and Stage</t>
  </si>
  <si>
    <t>Limitation: Small number of sample</t>
  </si>
  <si>
    <t>Value of Health Loss</t>
  </si>
  <si>
    <t>Limitation: Couldn't calculate this since stage and disease wise DW and Median Survival Year not available in the literature</t>
  </si>
  <si>
    <t>Intangible Cost</t>
  </si>
  <si>
    <t>Table 2: Yearly Intangible Costs</t>
  </si>
  <si>
    <t>Table 4: Stage and Type-wise</t>
  </si>
  <si>
    <t>N = 24</t>
  </si>
  <si>
    <t>N = 57</t>
  </si>
  <si>
    <t>N = 47</t>
  </si>
  <si>
    <t>N = 2</t>
  </si>
  <si>
    <t>N = 3</t>
  </si>
  <si>
    <t>N = 10</t>
  </si>
  <si>
    <t>N = 22</t>
  </si>
  <si>
    <t>N = 13</t>
  </si>
  <si>
    <t>N = 4</t>
  </si>
  <si>
    <t>N = 0</t>
  </si>
  <si>
    <t>Cost Difference</t>
  </si>
  <si>
    <t>Table 4: Total Annual Cost to Society - Stage and Cancer Type</t>
  </si>
  <si>
    <t>Note 1: Divided total direct cost by the disease duration in months to get monthly costs. Converted monthly costs to Yearly costs</t>
  </si>
  <si>
    <t>Note 2: Dropped obs if months with disease was less then 1</t>
  </si>
  <si>
    <t>Note 1: Only advanced stage (while detected)</t>
  </si>
  <si>
    <t>Note 2: Worked with 191 available data of stage 3 and 4</t>
  </si>
  <si>
    <t>Question: Should we include stage 1 and 2 in this table?</t>
  </si>
  <si>
    <t>Note: Median survival for Oral Cancer: This is for Oral Squamous Cell Carcinoma (OSCC) which is a type of oral cancer accounting for about 90% of all cases</t>
  </si>
  <si>
    <t>Note: Median survival for Oral Cancer: It was calculated assuming without recurrence in the reference article.</t>
  </si>
  <si>
    <t>Assumptions / Notes</t>
  </si>
  <si>
    <t>Note: This table shows the monetary value of life years and health loss when cancer is detected in the advance stage instead of early stage</t>
  </si>
  <si>
    <t>Note: Median Survival Years: See Reference Paper 8, 13 and 14 Respectively.</t>
  </si>
  <si>
    <t>Note: Disability Weight: Breast - This is average. DW for stage 3 is 0.724 and stage 4 is 0.864. Cervical - This is average. DW for stage 3 is 0.813 and stage 4 is 0.855</t>
  </si>
  <si>
    <t>Assumption: Average Age - when screening starts, cancer will be detected at the age equal to the average age of patients here in this early stage section</t>
  </si>
  <si>
    <t>Note: Per Capita GDP - at current prices, in Taka. Bangladesh Bank. Retrieved from: https://www.bb.org.bd/en/index.php/econdata/nationalincome</t>
  </si>
  <si>
    <t>Note: Average Age - the average age of early stage patients is lower than their counterparts</t>
  </si>
  <si>
    <t>Assumption: Advanced Stage - without screening, the cases are detected (mostly) at the advanced stage. Our data also supports that (56%) and (21%) early stage</t>
  </si>
  <si>
    <t>Assumption: YLD - assuming cancer detected on the same age as average age and patient lives full life expectancy with this disability</t>
  </si>
  <si>
    <t>Assumption: YLL - early detection will ensure that patients do not lose life years.</t>
  </si>
  <si>
    <t>Source: This Avergae age is from our data</t>
  </si>
  <si>
    <t>Note: Discounting: the earning loss has been appropriately discounted; i.e., future earnings must be discounted to their present value. In this study the discount rate is 3%.</t>
  </si>
  <si>
    <t>Note: DALY  - we considered DALY because screening will not prevent early stage cancer and hence we need to consider DW for early stage cancers</t>
  </si>
  <si>
    <t>Introducing a National Cancer Screening Program with Organized Community-based Approach: A Cost-Benefit Analysis</t>
  </si>
  <si>
    <t>Note 3: For Attendants, we calculated the earning loss of all attendants (1,2,3) per patient and then calculated the average.</t>
  </si>
  <si>
    <t>Supplement: Annual Work Month Lost Calculation - For calculating indriect cost for patient - we need annual work month lost. we have data for duration from detection and total work month lost. Sometimes the total work month lost (months_without_work) &gt; detection duration (months_from_diag) cause patient couldn't work due to sympotoms of the disease while the disease was not detected yet. We used the unitary method to calculate annual workmonth loss by generating the following variable</t>
  </si>
  <si>
    <t>Supplement: Replacing 0 income - For patients and attendants who have 0 income, if we consider them 0, then their income will be underestimated. The work loss or study loss of housewives or students or unempoyed people also has a value. We assume that per capita income roughly represetns that lost value and hence we replace the missing wages with per capita income.</t>
  </si>
  <si>
    <t xml:space="preserve">Supplement: Annual Work Month Lost - But the problem is when months_without_work &gt; months_from_diag, the value is irrational. In those cases we replaced months_from_detection by months_without_work (the larger value) considering the fact that though cancer was not diagnosed yet, the patient couldn;t work due to the illness. </t>
  </si>
  <si>
    <t>Supplement: YLD - We have already accounted for earning loss of patietns, now if we consider YLD while calculating statistical value of life, will It be double counting? No cause earning loss was calculated until now, YLD captures future earning loss</t>
  </si>
  <si>
    <t>Supplements</t>
  </si>
  <si>
    <t>Health Loss + Earning Loss</t>
  </si>
  <si>
    <t xml:space="preserve">Limitation 1: This includes profit </t>
  </si>
  <si>
    <t>Limitation 2: Fear of double counting. Already accounted for this cost while calculating direct costs of private facilities</t>
  </si>
  <si>
    <t>Limitation: No sample from private stage 4 cervical ancer. Took average of Stage 4 Oral and Stage 4 Breast Cancer</t>
  </si>
  <si>
    <t>Source: WHO Cancer Statistics 2022</t>
  </si>
  <si>
    <t>Source: WHO Cancer Statistics 2022 (same source as incidence)</t>
  </si>
  <si>
    <t>Note: Incidence Reduction - Breast - Reference 19: Advanced breast cancer incidence reuction</t>
  </si>
  <si>
    <t>Extra Notes</t>
  </si>
  <si>
    <t>Note 3: Benefit from reduced mortality already incorporated into indirect cost calculation</t>
  </si>
  <si>
    <t>Assumption: Reduction of incidence percentage are data from developed countries. We assume that same rate will be applicable for Bangaldesh</t>
  </si>
  <si>
    <t>Note 4: Calculated % of incidence from given data in who statistics 2022</t>
  </si>
  <si>
    <t>Note: Incidence Reduction - Cervical - Reference 18:  between 41 and 49% of the expected cases of cervical cancer may have been prevented in nordic countries. The lowest point has been used here.</t>
  </si>
  <si>
    <t>Note: Incidence Reduction - Oral - Reference 17: This is reduction in incidence of advance stage breast cancer due to screening programme. See Note 3</t>
  </si>
  <si>
    <t>Note: Incidence Reduction - These percentages show reduction of advance stage oral cancer and breast cancer and all stage cervical cancer</t>
  </si>
  <si>
    <t>Limilation: Benefit from increasing awareness due to screening programme is notincluded in the calculation</t>
  </si>
  <si>
    <t>Benefit Side</t>
  </si>
  <si>
    <t>Note: Disability Weight - Oral see reference paper 16. Breast - This is an average. The DW for stage 1 is 0.439 and stage 2 is 0.597. Cervical - This is average. The DW for stage 1 is 0.553 and stage 2 is 0.492. Reference Paper 15</t>
  </si>
  <si>
    <t>Scenario</t>
  </si>
  <si>
    <t>Redcution percentage</t>
  </si>
  <si>
    <t>Decline in cases</t>
  </si>
  <si>
    <t>Projected benefit</t>
  </si>
  <si>
    <t>Oral Cancer Screening Programme</t>
  </si>
  <si>
    <t>Average Annual Societal Cost Savings Per Cancer Case</t>
  </si>
  <si>
    <t>New Cases of Oral Cancer in 2022</t>
  </si>
  <si>
    <t>Reduction in cancer cases due to screening programme</t>
  </si>
  <si>
    <t>Breast Cancer Screening Programme</t>
  </si>
  <si>
    <t>Cervical Cancer Screening Programme</t>
  </si>
  <si>
    <t>Projected National Benefit</t>
  </si>
  <si>
    <t>BDT</t>
  </si>
  <si>
    <t>USD</t>
  </si>
  <si>
    <t>Exchange Rate</t>
  </si>
  <si>
    <t>Exchange rate</t>
  </si>
  <si>
    <t>Income Per Capita (BDT)</t>
  </si>
  <si>
    <t>Income Per Capita (USD)</t>
  </si>
  <si>
    <t>Valuation of Health Loss - without Screening (BDT)</t>
  </si>
  <si>
    <t>Valuation of Health Loss - without Screening (USD)</t>
  </si>
  <si>
    <t>Valuation of Health Loss - with Screening (BDT)</t>
  </si>
  <si>
    <t>Valuation of Health Loss - with Screening (USD)</t>
  </si>
  <si>
    <t>Health Loss Averted due to Screening (BDT)</t>
  </si>
  <si>
    <t>Health Loss Averted due to Screening (USD)</t>
  </si>
  <si>
    <t>Exchnage rate</t>
  </si>
  <si>
    <t>Projected benefit (BDT)</t>
  </si>
  <si>
    <t>Projected benefit (USD)</t>
  </si>
  <si>
    <t>Projected National Benefit (USD)</t>
  </si>
  <si>
    <t>Projected National Benefit (BDT)</t>
  </si>
  <si>
    <t>Table 9: DALY per 100,000 population In Bangladesh</t>
  </si>
  <si>
    <t>DALY per cancer case</t>
  </si>
  <si>
    <t>5-year prevalence per 100,000 population</t>
  </si>
  <si>
    <t>DALYs per 100,000 population</t>
  </si>
  <si>
    <t>New Note: There will be some cases averted due to awareness building through screeming programme. Where there is no case of disability weight. We can prevent early stage cancer cases as well with screening. But we couldnot take that number into account. We need to menton that in method / limitation.</t>
  </si>
  <si>
    <t xml:space="preserve">Limitation: This calculation is that it is income affected. Add this sentence: To make it more realistic we set a bar on wtp. </t>
  </si>
  <si>
    <t>mention all the minor value in the findings to increase citation.</t>
  </si>
  <si>
    <t>Note: This is from organized screening programmes</t>
  </si>
  <si>
    <t>Source: WHO 2021</t>
  </si>
  <si>
    <t>Stage 1</t>
  </si>
  <si>
    <t>Stage 2</t>
  </si>
  <si>
    <t>N = 11</t>
  </si>
  <si>
    <t>N = 62</t>
  </si>
  <si>
    <t>Took the age when the diagnostic was made by substracting years from diagnosis from current age</t>
  </si>
  <si>
    <t>Table 2: Economic Valuation of Health Loss Per Advanced Case</t>
  </si>
  <si>
    <t>Table 7: Cancer stage-wise Indirect Cost Per Patient (Advanced)</t>
  </si>
  <si>
    <t>Table 8: Cancer Type and Stage-wise Indirect Cost Per Patient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</si>
</sst>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0"/>
    <numFmt numFmtId="166" formatCode="_(* #,##0.0_);_(* \(#,##0.0\);_(* &quot;-&quot;??_);_(@_)"/>
  </numFmts>
  <fonts count="30"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sz val="9"/>
      <color indexed="81"/>
      <name val="Tahoma"/>
      <family val="2"/>
    </font>
    <font>
      <b/>
      <sz val="9"/>
      <color indexed="81"/>
      <name val="Tahoma"/>
      <family val="2"/>
    </font>
    <font>
      <sz val="11"/>
      <color theme="1"/>
      <name val="Century Gothic"/>
      <family val="2"/>
    </font>
    <font>
      <b/>
      <sz val="11"/>
      <color theme="1"/>
      <name val="Century Gothic"/>
      <family val="2"/>
    </font>
    <font>
      <sz val="11"/>
      <name val="Century Gothic"/>
      <family val="2"/>
    </font>
    <font>
      <sz val="11"/>
      <color rgb="FFFF0000"/>
      <name val="Century Gothic"/>
      <family val="2"/>
    </font>
    <font>
      <b/>
      <sz val="18"/>
      <color theme="5" tint="0.39997558519241921"/>
      <name val="Century Gothic"/>
      <family val="2"/>
    </font>
    <font>
      <b/>
      <sz val="11"/>
      <name val="Century Gothic"/>
      <family val="2"/>
    </font>
    <font>
      <sz val="11"/>
      <color rgb="FF000000"/>
      <name val="Century Gothic"/>
      <family val="2"/>
    </font>
    <font>
      <b/>
      <sz val="14"/>
      <color theme="5" tint="0.39997558519241921"/>
      <name val="Century Gothic"/>
      <family val="2"/>
    </font>
    <font>
      <b/>
      <sz val="12"/>
      <color rgb="FF000000"/>
      <name val="Century Gothic"/>
      <family val="2"/>
    </font>
    <font>
      <sz val="10"/>
      <color theme="1"/>
      <name val="Century Gothic"/>
      <family val="2"/>
    </font>
    <font>
      <sz val="10"/>
      <color rgb="FF000000"/>
      <name val="Century Gothic"/>
      <family val="2"/>
    </font>
    <font>
      <b/>
      <sz val="10"/>
      <color theme="1"/>
      <name val="Century Gothic"/>
      <family val="2"/>
    </font>
    <font>
      <sz val="10"/>
      <name val="Century Gothic"/>
      <family val="2"/>
    </font>
    <font>
      <b/>
      <sz val="10"/>
      <name val="Century Gothic"/>
      <family val="2"/>
    </font>
    <font>
      <sz val="10"/>
      <color rgb="FFFF0000"/>
      <name val="Century Gothic"/>
      <family val="2"/>
    </font>
    <font>
      <b/>
      <i/>
      <sz val="16"/>
      <color theme="1"/>
      <name val="Aptos Narrow"/>
      <family val="2"/>
      <scheme val="minor"/>
    </font>
    <font>
      <b/>
      <sz val="14"/>
      <color rgb="FF0070C0"/>
      <name val="Century Gothic"/>
      <family val="2"/>
    </font>
    <font>
      <i/>
      <sz val="11"/>
      <color theme="1"/>
      <name val="Aptos Narrow"/>
      <family val="2"/>
      <scheme val="minor"/>
    </font>
    <font>
      <b/>
      <i/>
      <sz val="11"/>
      <color theme="1"/>
      <name val="Aptos Narrow"/>
      <family val="2"/>
      <scheme val="minor"/>
    </font>
    <font>
      <sz val="11"/>
      <color theme="1"/>
      <name val="Times New Roman"/>
      <family val="1"/>
    </font>
    <font>
      <sz val="11"/>
      <color rgb="FF000000"/>
      <name val="Times New Roman"/>
      <family val="1"/>
    </font>
    <font>
      <i/>
      <sz val="11"/>
      <color theme="1"/>
      <name val="Times New Roman"/>
      <family val="1"/>
    </font>
    <font>
      <b/>
      <i/>
      <sz val="11"/>
      <color theme="1"/>
      <name val="Century Gothic"/>
      <family val="2"/>
    </font>
    <font>
      <sz val="11"/>
      <color rgb="FFFF0000"/>
      <name val="Aptos Narrow"/>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2"/>
        <bgColor indexed="64"/>
      </patternFill>
    </fill>
    <fill>
      <patternFill patternType="solid">
        <fgColor theme="3" tint="0.89999084444715716"/>
        <bgColor indexed="64"/>
      </patternFill>
    </fill>
    <fill>
      <patternFill patternType="solid">
        <fgColor rgb="FFFFFF00"/>
        <bgColor indexed="64"/>
      </patternFill>
    </fill>
  </fills>
  <borders count="41">
    <border>
      <left/>
      <right/>
      <top/>
      <bottom/>
      <diagonal/>
    </border>
    <border>
      <left/>
      <right style="thin">
        <color indexed="64"/>
      </right>
      <top/>
      <bottom/>
      <diagonal/>
    </border>
    <border>
      <left/>
      <right/>
      <top style="thin">
        <color indexed="64"/>
      </top>
      <bottom/>
      <diagonal/>
    </border>
    <border>
      <left/>
      <right/>
      <top/>
      <bottom style="thick">
        <color indexed="64"/>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ck">
        <color indexed="64"/>
      </bottom>
      <diagonal/>
    </border>
    <border>
      <left/>
      <right/>
      <top/>
      <bottom style="medium">
        <color indexed="64"/>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27">
    <xf numFmtId="0" fontId="0" fillId="0" borderId="0" xfId="0"/>
    <xf numFmtId="164" fontId="0" fillId="0" borderId="0" xfId="1" applyNumberFormat="1" applyFont="1"/>
    <xf numFmtId="164" fontId="0" fillId="0" borderId="0" xfId="1" applyNumberFormat="1" applyFont="1" applyBorder="1"/>
    <xf numFmtId="0" fontId="6" fillId="0" borderId="0" xfId="0" applyFont="1"/>
    <xf numFmtId="0" fontId="6" fillId="0" borderId="1" xfId="0" applyFont="1" applyBorder="1"/>
    <xf numFmtId="0" fontId="7" fillId="0" borderId="0" xfId="0" applyFont="1" applyAlignment="1">
      <alignment horizontal="right"/>
    </xf>
    <xf numFmtId="164" fontId="6" fillId="0" borderId="0" xfId="1" applyNumberFormat="1" applyFont="1" applyFill="1" applyBorder="1"/>
    <xf numFmtId="164" fontId="6" fillId="0" borderId="0" xfId="1" applyNumberFormat="1" applyFont="1" applyBorder="1"/>
    <xf numFmtId="164" fontId="6" fillId="0" borderId="0" xfId="1" applyNumberFormat="1" applyFont="1"/>
    <xf numFmtId="0" fontId="6" fillId="0" borderId="0" xfId="0" applyFont="1" applyAlignment="1">
      <alignment horizontal="right"/>
    </xf>
    <xf numFmtId="164" fontId="6" fillId="0" borderId="0" xfId="1" applyNumberFormat="1" applyFont="1" applyBorder="1" applyAlignment="1"/>
    <xf numFmtId="164" fontId="6" fillId="0" borderId="0" xfId="1" applyNumberFormat="1" applyFont="1" applyBorder="1" applyAlignment="1">
      <alignment horizontal="center"/>
    </xf>
    <xf numFmtId="164" fontId="6" fillId="0" borderId="0" xfId="1" applyNumberFormat="1" applyFont="1" applyFill="1" applyBorder="1" applyAlignment="1">
      <alignment horizontal="center"/>
    </xf>
    <xf numFmtId="164" fontId="6" fillId="0" borderId="0" xfId="0" applyNumberFormat="1" applyFont="1"/>
    <xf numFmtId="0" fontId="8" fillId="0" borderId="0" xfId="0" applyFont="1"/>
    <xf numFmtId="0" fontId="9" fillId="0" borderId="0" xfId="0" applyFont="1"/>
    <xf numFmtId="0" fontId="7" fillId="0" borderId="0" xfId="0" applyFont="1"/>
    <xf numFmtId="0" fontId="7" fillId="0" borderId="0" xfId="0" applyFont="1" applyAlignment="1">
      <alignment horizontal="center"/>
    </xf>
    <xf numFmtId="43" fontId="6" fillId="0" borderId="0" xfId="1" applyFont="1" applyBorder="1" applyAlignment="1"/>
    <xf numFmtId="0" fontId="8" fillId="0" borderId="0" xfId="0" applyFont="1" applyAlignment="1">
      <alignment horizontal="left"/>
    </xf>
    <xf numFmtId="43" fontId="6" fillId="0" borderId="0" xfId="1" applyFont="1" applyFill="1" applyBorder="1" applyAlignment="1"/>
    <xf numFmtId="0" fontId="6" fillId="0" borderId="0" xfId="0" applyFont="1" applyAlignment="1">
      <alignment horizontal="left"/>
    </xf>
    <xf numFmtId="0" fontId="6" fillId="0" borderId="3" xfId="0" applyFont="1" applyBorder="1"/>
    <xf numFmtId="164" fontId="6" fillId="0" borderId="0" xfId="0" applyNumberFormat="1" applyFont="1" applyAlignment="1">
      <alignment vertical="center"/>
    </xf>
    <xf numFmtId="164" fontId="7" fillId="0" borderId="0" xfId="0" applyNumberFormat="1" applyFont="1"/>
    <xf numFmtId="164" fontId="6" fillId="0" borderId="3" xfId="0" applyNumberFormat="1" applyFont="1" applyBorder="1" applyAlignment="1">
      <alignment vertical="center"/>
    </xf>
    <xf numFmtId="164" fontId="6" fillId="0" borderId="3" xfId="0" applyNumberFormat="1" applyFont="1" applyBorder="1"/>
    <xf numFmtId="164" fontId="7" fillId="0" borderId="3" xfId="0" applyNumberFormat="1" applyFont="1" applyBorder="1"/>
    <xf numFmtId="0" fontId="10" fillId="0" borderId="0" xfId="0" applyFont="1" applyAlignment="1">
      <alignment horizontal="left" vertical="top"/>
    </xf>
    <xf numFmtId="0" fontId="6" fillId="0" borderId="0" xfId="0" applyFont="1" applyAlignment="1">
      <alignment horizontal="center"/>
    </xf>
    <xf numFmtId="164" fontId="6" fillId="0" borderId="0" xfId="1" applyNumberFormat="1" applyFont="1" applyFill="1" applyBorder="1" applyAlignment="1"/>
    <xf numFmtId="164" fontId="6" fillId="0" borderId="0" xfId="1" applyNumberFormat="1" applyFont="1" applyBorder="1" applyAlignment="1">
      <alignment vertical="center"/>
    </xf>
    <xf numFmtId="0" fontId="11" fillId="0" borderId="0" xfId="0" applyFont="1" applyAlignment="1">
      <alignment horizontal="right" vertical="top"/>
    </xf>
    <xf numFmtId="164" fontId="7" fillId="0" borderId="0" xfId="1" applyNumberFormat="1" applyFont="1" applyFill="1" applyBorder="1"/>
    <xf numFmtId="164" fontId="7" fillId="0" borderId="0" xfId="1" applyNumberFormat="1" applyFont="1" applyBorder="1"/>
    <xf numFmtId="0" fontId="7" fillId="0" borderId="0" xfId="0" applyFont="1" applyAlignment="1">
      <alignment horizontal="left"/>
    </xf>
    <xf numFmtId="0" fontId="6"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2" fontId="8" fillId="0" borderId="0" xfId="0" applyNumberFormat="1" applyFont="1"/>
    <xf numFmtId="164" fontId="8" fillId="0" borderId="0" xfId="1" applyNumberFormat="1" applyFont="1" applyFill="1" applyBorder="1" applyAlignment="1">
      <alignment vertical="center"/>
    </xf>
    <xf numFmtId="164" fontId="8" fillId="0" borderId="0" xfId="1" applyNumberFormat="1" applyFont="1" applyFill="1" applyBorder="1" applyAlignment="1"/>
    <xf numFmtId="0" fontId="8" fillId="0" borderId="0" xfId="0" applyFont="1" applyAlignment="1">
      <alignment horizontal="right" vertical="center"/>
    </xf>
    <xf numFmtId="164" fontId="7" fillId="0" borderId="0" xfId="1" applyNumberFormat="1" applyFont="1"/>
    <xf numFmtId="2" fontId="6" fillId="0" borderId="0" xfId="0" applyNumberFormat="1" applyFont="1"/>
    <xf numFmtId="0" fontId="13" fillId="0" borderId="3" xfId="0" applyFont="1" applyBorder="1" applyAlignment="1">
      <alignment horizontal="left" vertical="top"/>
    </xf>
    <xf numFmtId="0" fontId="11" fillId="0" borderId="0" xfId="0" applyFont="1" applyAlignment="1">
      <alignment horizontal="left" vertical="center"/>
    </xf>
    <xf numFmtId="0" fontId="9" fillId="0" borderId="0" xfId="0" applyFont="1" applyAlignment="1">
      <alignment vertical="center"/>
    </xf>
    <xf numFmtId="0" fontId="7" fillId="0" borderId="2" xfId="0" applyFont="1" applyBorder="1" applyAlignment="1">
      <alignment horizontal="center"/>
    </xf>
    <xf numFmtId="164" fontId="6" fillId="0" borderId="0" xfId="1" applyNumberFormat="1" applyFont="1" applyAlignment="1">
      <alignment horizontal="left"/>
    </xf>
    <xf numFmtId="164" fontId="6" fillId="0" borderId="0" xfId="1" applyNumberFormat="1" applyFont="1" applyBorder="1" applyAlignment="1">
      <alignment horizontal="left"/>
    </xf>
    <xf numFmtId="0" fontId="9" fillId="0" borderId="0" xfId="0" applyFont="1" applyAlignment="1">
      <alignment horizontal="left"/>
    </xf>
    <xf numFmtId="0" fontId="9" fillId="0" borderId="3" xfId="0" applyFont="1" applyBorder="1"/>
    <xf numFmtId="164" fontId="0" fillId="0" borderId="3" xfId="1" applyNumberFormat="1" applyFont="1" applyBorder="1"/>
    <xf numFmtId="164" fontId="6" fillId="0" borderId="0" xfId="1" applyNumberFormat="1" applyFont="1" applyFill="1" applyBorder="1" applyAlignment="1">
      <alignment horizontal="right"/>
    </xf>
    <xf numFmtId="164" fontId="6" fillId="0" borderId="3" xfId="1" applyNumberFormat="1" applyFont="1" applyBorder="1"/>
    <xf numFmtId="164" fontId="7" fillId="0" borderId="0" xfId="1" applyNumberFormat="1" applyFont="1" applyAlignment="1">
      <alignment horizontal="left"/>
    </xf>
    <xf numFmtId="0" fontId="6" fillId="0" borderId="3" xfId="0" applyFont="1" applyBorder="1" applyAlignment="1">
      <alignment horizontal="center"/>
    </xf>
    <xf numFmtId="0" fontId="14" fillId="0" borderId="3" xfId="0" applyFont="1" applyBorder="1"/>
    <xf numFmtId="0" fontId="15" fillId="0" borderId="0" xfId="0" applyFont="1"/>
    <xf numFmtId="164" fontId="15" fillId="0" borderId="0" xfId="1" applyNumberFormat="1" applyFont="1" applyBorder="1"/>
    <xf numFmtId="0" fontId="15" fillId="0" borderId="0" xfId="0" applyFont="1" applyAlignment="1">
      <alignment horizontal="center"/>
    </xf>
    <xf numFmtId="0" fontId="16" fillId="0" borderId="0" xfId="0" applyFont="1" applyAlignment="1">
      <alignment horizontal="left"/>
    </xf>
    <xf numFmtId="0" fontId="15" fillId="0" borderId="0" xfId="0" applyFont="1" applyAlignment="1">
      <alignment horizontal="left"/>
    </xf>
    <xf numFmtId="164" fontId="18" fillId="0" borderId="0" xfId="1" applyNumberFormat="1" applyFont="1" applyFill="1" applyBorder="1"/>
    <xf numFmtId="0" fontId="18" fillId="0" borderId="0" xfId="0" applyFont="1" applyAlignment="1">
      <alignment horizontal="left"/>
    </xf>
    <xf numFmtId="164" fontId="15" fillId="0" borderId="0" xfId="1" applyNumberFormat="1" applyFont="1" applyFill="1" applyBorder="1"/>
    <xf numFmtId="164" fontId="17" fillId="0" borderId="0" xfId="0" applyNumberFormat="1" applyFont="1"/>
    <xf numFmtId="9" fontId="18" fillId="0" borderId="0" xfId="2" applyFont="1" applyFill="1" applyBorder="1"/>
    <xf numFmtId="0" fontId="17" fillId="0" borderId="0" xfId="0" applyFont="1"/>
    <xf numFmtId="0" fontId="18" fillId="0" borderId="0" xfId="0" applyFont="1"/>
    <xf numFmtId="0" fontId="17" fillId="0" borderId="0" xfId="0" applyFont="1" applyAlignment="1">
      <alignment horizontal="left"/>
    </xf>
    <xf numFmtId="0" fontId="20" fillId="0" borderId="0" xfId="0" applyFont="1"/>
    <xf numFmtId="16" fontId="6" fillId="0" borderId="0" xfId="0" applyNumberFormat="1" applyFont="1"/>
    <xf numFmtId="0" fontId="7" fillId="0" borderId="4" xfId="0" applyFont="1" applyBorder="1" applyAlignment="1">
      <alignment horizontal="right"/>
    </xf>
    <xf numFmtId="0" fontId="7" fillId="0" borderId="0" xfId="0" applyFont="1" applyAlignment="1">
      <alignment horizontal="center" vertical="center"/>
    </xf>
    <xf numFmtId="165" fontId="6" fillId="0" borderId="0" xfId="0" applyNumberFormat="1" applyFont="1"/>
    <xf numFmtId="2" fontId="8" fillId="0" borderId="0" xfId="0" applyNumberFormat="1" applyFont="1" applyAlignment="1">
      <alignment horizontal="right" vertical="center"/>
    </xf>
    <xf numFmtId="2" fontId="8" fillId="0" borderId="0" xfId="0" applyNumberFormat="1" applyFont="1" applyAlignment="1">
      <alignment vertical="center"/>
    </xf>
    <xf numFmtId="2" fontId="6" fillId="0" borderId="0" xfId="0" applyNumberFormat="1" applyFont="1" applyAlignment="1">
      <alignment vertical="center"/>
    </xf>
    <xf numFmtId="0" fontId="11" fillId="0" borderId="0" xfId="0" applyFont="1" applyAlignment="1">
      <alignment horizontal="left"/>
    </xf>
    <xf numFmtId="9" fontId="6" fillId="0" borderId="0" xfId="2" applyFont="1"/>
    <xf numFmtId="0" fontId="12" fillId="0" borderId="0" xfId="0" applyFont="1" applyAlignment="1">
      <alignment horizontal="left" vertical="center"/>
    </xf>
    <xf numFmtId="0" fontId="7" fillId="0" borderId="4" xfId="0" applyFont="1" applyBorder="1" applyAlignment="1">
      <alignment horizontal="left"/>
    </xf>
    <xf numFmtId="0" fontId="13" fillId="0" borderId="0" xfId="0" applyFont="1" applyAlignment="1">
      <alignment horizontal="left" vertical="top"/>
    </xf>
    <xf numFmtId="164" fontId="0" fillId="0" borderId="0" xfId="1" applyNumberFormat="1" applyFont="1" applyAlignment="1">
      <alignment horizontal="left"/>
    </xf>
    <xf numFmtId="164" fontId="7" fillId="0" borderId="3" xfId="1" applyNumberFormat="1" applyFont="1" applyBorder="1"/>
    <xf numFmtId="0" fontId="21" fillId="0" borderId="0" xfId="0" applyFont="1"/>
    <xf numFmtId="0" fontId="22" fillId="0" borderId="3" xfId="0" applyFont="1" applyBorder="1" applyAlignment="1">
      <alignment horizontal="left" vertical="top"/>
    </xf>
    <xf numFmtId="0" fontId="22" fillId="0" borderId="0" xfId="0" applyFont="1" applyAlignment="1">
      <alignment horizontal="left" vertical="top"/>
    </xf>
    <xf numFmtId="0" fontId="15" fillId="5" borderId="0" xfId="0" applyFont="1" applyFill="1" applyAlignment="1">
      <alignment horizontal="left"/>
    </xf>
    <xf numFmtId="9" fontId="19" fillId="5" borderId="0" xfId="2" applyFont="1" applyFill="1" applyBorder="1"/>
    <xf numFmtId="0" fontId="25" fillId="0" borderId="10" xfId="0" applyFont="1" applyBorder="1"/>
    <xf numFmtId="0" fontId="25" fillId="0" borderId="12" xfId="0" applyFont="1" applyBorder="1"/>
    <xf numFmtId="0" fontId="25" fillId="0" borderId="7" xfId="0" applyFont="1" applyBorder="1"/>
    <xf numFmtId="9" fontId="25" fillId="0" borderId="5" xfId="2" applyFont="1" applyBorder="1"/>
    <xf numFmtId="164" fontId="25" fillId="0" borderId="5" xfId="1" applyNumberFormat="1" applyFont="1" applyBorder="1"/>
    <xf numFmtId="0" fontId="25" fillId="0" borderId="5" xfId="0" applyFont="1" applyBorder="1"/>
    <xf numFmtId="0" fontId="25" fillId="0" borderId="1" xfId="0" applyFont="1" applyBorder="1"/>
    <xf numFmtId="164" fontId="25" fillId="0" borderId="8" xfId="1" applyNumberFormat="1" applyFont="1" applyBorder="1"/>
    <xf numFmtId="164" fontId="25" fillId="0" borderId="11" xfId="0" applyNumberFormat="1" applyFont="1" applyBorder="1"/>
    <xf numFmtId="9" fontId="25" fillId="0" borderId="12" xfId="0" applyNumberFormat="1" applyFont="1" applyBorder="1"/>
    <xf numFmtId="0" fontId="25" fillId="0" borderId="16" xfId="0" applyFont="1" applyBorder="1"/>
    <xf numFmtId="0" fontId="25" fillId="0" borderId="17" xfId="0" applyFont="1" applyBorder="1"/>
    <xf numFmtId="0" fontId="26" fillId="0" borderId="18" xfId="0" applyFont="1" applyBorder="1" applyAlignment="1">
      <alignment horizontal="left"/>
    </xf>
    <xf numFmtId="164" fontId="25" fillId="0" borderId="19" xfId="1" applyNumberFormat="1" applyFont="1" applyBorder="1"/>
    <xf numFmtId="0" fontId="25" fillId="0" borderId="20" xfId="0" applyFont="1" applyBorder="1"/>
    <xf numFmtId="0" fontId="25" fillId="0" borderId="18" xfId="0" applyFont="1" applyBorder="1"/>
    <xf numFmtId="0" fontId="25" fillId="0" borderId="21" xfId="0" applyFont="1" applyBorder="1"/>
    <xf numFmtId="0" fontId="25" fillId="0" borderId="22" xfId="0" applyFont="1" applyBorder="1"/>
    <xf numFmtId="0" fontId="25" fillId="0" borderId="23" xfId="0" applyFont="1" applyBorder="1"/>
    <xf numFmtId="9" fontId="25" fillId="0" borderId="24" xfId="2" applyFont="1" applyBorder="1"/>
    <xf numFmtId="164" fontId="25" fillId="0" borderId="24" xfId="1" applyNumberFormat="1" applyFont="1" applyBorder="1"/>
    <xf numFmtId="164" fontId="25" fillId="0" borderId="25" xfId="1" applyNumberFormat="1" applyFont="1" applyBorder="1"/>
    <xf numFmtId="0" fontId="0" fillId="0" borderId="26" xfId="0" applyBorder="1"/>
    <xf numFmtId="0" fontId="0" fillId="0" borderId="27" xfId="0" applyBorder="1"/>
    <xf numFmtId="0" fontId="27" fillId="0" borderId="26" xfId="0" applyFont="1" applyBorder="1"/>
    <xf numFmtId="0" fontId="27" fillId="0" borderId="5" xfId="0" applyFont="1" applyBorder="1"/>
    <xf numFmtId="0" fontId="9" fillId="0" borderId="28" xfId="0" applyFont="1" applyBorder="1"/>
    <xf numFmtId="0" fontId="7" fillId="0" borderId="1" xfId="0" applyFont="1" applyBorder="1" applyAlignment="1">
      <alignment horizontal="center"/>
    </xf>
    <xf numFmtId="0" fontId="6" fillId="0" borderId="1" xfId="0" applyFont="1" applyBorder="1" applyAlignment="1">
      <alignment horizontal="right"/>
    </xf>
    <xf numFmtId="164" fontId="6" fillId="0" borderId="1" xfId="1" applyNumberFormat="1" applyFont="1" applyBorder="1"/>
    <xf numFmtId="164" fontId="7" fillId="0" borderId="1" xfId="1" applyNumberFormat="1" applyFont="1" applyFill="1" applyBorder="1"/>
    <xf numFmtId="0" fontId="13" fillId="0" borderId="28" xfId="0" applyFont="1" applyBorder="1" applyAlignment="1">
      <alignment horizontal="left" vertical="top"/>
    </xf>
    <xf numFmtId="0" fontId="7" fillId="0" borderId="9" xfId="0" applyFont="1" applyBorder="1" applyAlignment="1">
      <alignment horizontal="center"/>
    </xf>
    <xf numFmtId="0" fontId="6" fillId="0" borderId="28" xfId="0" applyFont="1" applyBorder="1"/>
    <xf numFmtId="0" fontId="28" fillId="0" borderId="0" xfId="0" applyFont="1"/>
    <xf numFmtId="0" fontId="22" fillId="0" borderId="29" xfId="0" applyFont="1" applyBorder="1" applyAlignment="1">
      <alignment horizontal="left" vertical="top"/>
    </xf>
    <xf numFmtId="0" fontId="6" fillId="0" borderId="29" xfId="0" applyFont="1" applyBorder="1"/>
    <xf numFmtId="164" fontId="7" fillId="0" borderId="0" xfId="1" applyNumberFormat="1" applyFont="1" applyBorder="1" applyAlignment="1"/>
    <xf numFmtId="0" fontId="11" fillId="0" borderId="4" xfId="0" applyFont="1" applyBorder="1" applyAlignment="1">
      <alignment horizontal="right" vertical="top"/>
    </xf>
    <xf numFmtId="0" fontId="11" fillId="0" borderId="30" xfId="0" applyFont="1" applyBorder="1" applyAlignment="1">
      <alignment horizontal="right" vertical="top"/>
    </xf>
    <xf numFmtId="164" fontId="6" fillId="0" borderId="1" xfId="1" applyNumberFormat="1" applyFont="1" applyBorder="1" applyAlignment="1"/>
    <xf numFmtId="164" fontId="7" fillId="0" borderId="1" xfId="0" applyNumberFormat="1" applyFont="1" applyBorder="1"/>
    <xf numFmtId="0" fontId="11" fillId="0" borderId="1" xfId="0" applyFont="1" applyBorder="1" applyAlignment="1">
      <alignment horizontal="right" vertical="top"/>
    </xf>
    <xf numFmtId="43" fontId="6" fillId="0" borderId="0" xfId="0" applyNumberFormat="1" applyFont="1"/>
    <xf numFmtId="9" fontId="6" fillId="0" borderId="0" xfId="2" applyFont="1" applyBorder="1" applyAlignment="1">
      <alignment vertical="center"/>
    </xf>
    <xf numFmtId="9" fontId="6" fillId="0" borderId="0" xfId="2" applyFont="1" applyBorder="1"/>
    <xf numFmtId="0" fontId="7" fillId="0" borderId="6" xfId="0" applyFont="1" applyBorder="1" applyAlignment="1">
      <alignment horizontal="right"/>
    </xf>
    <xf numFmtId="0" fontId="7" fillId="0" borderId="10" xfId="0" applyFont="1" applyBorder="1" applyAlignment="1">
      <alignment horizontal="right"/>
    </xf>
    <xf numFmtId="43" fontId="7" fillId="0" borderId="1" xfId="1" applyFont="1" applyBorder="1" applyAlignment="1"/>
    <xf numFmtId="43" fontId="6" fillId="0" borderId="1" xfId="1" applyFont="1" applyFill="1" applyBorder="1" applyAlignment="1"/>
    <xf numFmtId="43" fontId="8" fillId="0" borderId="0" xfId="0" applyNumberFormat="1" applyFont="1"/>
    <xf numFmtId="43" fontId="11" fillId="0" borderId="0" xfId="0" applyNumberFormat="1" applyFont="1"/>
    <xf numFmtId="164" fontId="0" fillId="0" borderId="6" xfId="1" applyNumberFormat="1" applyFont="1" applyBorder="1"/>
    <xf numFmtId="164" fontId="6" fillId="0" borderId="9" xfId="1" applyNumberFormat="1" applyFont="1" applyBorder="1"/>
    <xf numFmtId="164" fontId="6" fillId="0" borderId="10" xfId="1" applyNumberFormat="1" applyFont="1" applyBorder="1"/>
    <xf numFmtId="166" fontId="0" fillId="2" borderId="0" xfId="1" applyNumberFormat="1" applyFont="1" applyFill="1"/>
    <xf numFmtId="164" fontId="0" fillId="2" borderId="0" xfId="1" applyNumberFormat="1" applyFont="1" applyFill="1"/>
    <xf numFmtId="164" fontId="0" fillId="3" borderId="0" xfId="1" applyNumberFormat="1" applyFont="1" applyFill="1"/>
    <xf numFmtId="164" fontId="0" fillId="4" borderId="0" xfId="1" applyNumberFormat="1" applyFont="1" applyFill="1"/>
    <xf numFmtId="164" fontId="0" fillId="4" borderId="0" xfId="1" applyNumberFormat="1" applyFont="1" applyFill="1" applyBorder="1"/>
    <xf numFmtId="164" fontId="0" fillId="2" borderId="0" xfId="1" applyNumberFormat="1" applyFont="1" applyFill="1" applyBorder="1"/>
    <xf numFmtId="164" fontId="0" fillId="3" borderId="0" xfId="1" applyNumberFormat="1" applyFont="1" applyFill="1" applyBorder="1"/>
    <xf numFmtId="43" fontId="22" fillId="0" borderId="0" xfId="1" applyFont="1" applyBorder="1" applyAlignment="1">
      <alignment horizontal="left" vertical="top"/>
    </xf>
    <xf numFmtId="43" fontId="0" fillId="0" borderId="0" xfId="1" applyFont="1"/>
    <xf numFmtId="43" fontId="2" fillId="2" borderId="0" xfId="1" applyFont="1" applyFill="1"/>
    <xf numFmtId="43" fontId="2" fillId="0" borderId="0" xfId="1" applyFont="1"/>
    <xf numFmtId="43" fontId="2" fillId="3" borderId="0" xfId="1" applyFont="1" applyFill="1"/>
    <xf numFmtId="43" fontId="2" fillId="4" borderId="0" xfId="1" applyFont="1" applyFill="1"/>
    <xf numFmtId="43" fontId="0" fillId="2" borderId="0" xfId="1" applyFont="1" applyFill="1"/>
    <xf numFmtId="43" fontId="0" fillId="3" borderId="0" xfId="1" applyFont="1" applyFill="1"/>
    <xf numFmtId="43" fontId="0" fillId="4" borderId="0" xfId="1" applyFont="1" applyFill="1"/>
    <xf numFmtId="43" fontId="0" fillId="4" borderId="0" xfId="1" applyFont="1" applyFill="1" applyBorder="1"/>
    <xf numFmtId="164" fontId="6" fillId="0" borderId="1" xfId="1" applyNumberFormat="1" applyFont="1" applyFill="1" applyBorder="1"/>
    <xf numFmtId="164" fontId="7" fillId="0" borderId="28" xfId="0" applyNumberFormat="1" applyFont="1" applyBorder="1"/>
    <xf numFmtId="164" fontId="6" fillId="0" borderId="1" xfId="1" applyNumberFormat="1" applyFont="1" applyBorder="1" applyAlignment="1">
      <alignment horizontal="center"/>
    </xf>
    <xf numFmtId="0" fontId="6" fillId="0" borderId="28" xfId="0" applyFont="1" applyBorder="1" applyAlignment="1">
      <alignment horizontal="center"/>
    </xf>
    <xf numFmtId="0" fontId="6" fillId="0" borderId="1" xfId="0" applyFont="1" applyBorder="1" applyAlignment="1">
      <alignment horizontal="center"/>
    </xf>
    <xf numFmtId="164" fontId="6" fillId="0" borderId="1" xfId="0" applyNumberFormat="1" applyFont="1" applyBorder="1"/>
    <xf numFmtId="0" fontId="7" fillId="0" borderId="1" xfId="0" applyFont="1" applyBorder="1" applyAlignment="1">
      <alignment horizontal="left"/>
    </xf>
    <xf numFmtId="164" fontId="6" fillId="0" borderId="1" xfId="1" applyNumberFormat="1" applyFont="1" applyFill="1" applyBorder="1" applyAlignment="1">
      <alignment horizontal="center"/>
    </xf>
    <xf numFmtId="164" fontId="6" fillId="0" borderId="0" xfId="1" applyNumberFormat="1" applyFont="1" applyBorder="1" applyAlignment="1">
      <alignment horizontal="right"/>
    </xf>
    <xf numFmtId="164" fontId="6" fillId="0" borderId="1" xfId="1" applyNumberFormat="1" applyFont="1" applyBorder="1" applyAlignment="1">
      <alignment horizontal="right"/>
    </xf>
    <xf numFmtId="164" fontId="7" fillId="0" borderId="28" xfId="1" applyNumberFormat="1" applyFont="1" applyBorder="1"/>
    <xf numFmtId="43" fontId="6" fillId="0" borderId="0" xfId="1" applyFont="1"/>
    <xf numFmtId="43" fontId="6" fillId="0" borderId="0" xfId="1" applyFont="1" applyBorder="1"/>
    <xf numFmtId="43" fontId="7" fillId="0" borderId="0" xfId="1" applyFont="1" applyBorder="1"/>
    <xf numFmtId="0" fontId="17" fillId="0" borderId="0" xfId="0" applyFont="1" applyAlignment="1">
      <alignment horizontal="center"/>
    </xf>
    <xf numFmtId="0" fontId="17" fillId="0" borderId="1" xfId="0" applyFont="1" applyBorder="1" applyAlignment="1">
      <alignment horizontal="center"/>
    </xf>
    <xf numFmtId="164" fontId="15" fillId="0" borderId="0" xfId="0" applyNumberFormat="1" applyFont="1"/>
    <xf numFmtId="0" fontId="15" fillId="0" borderId="1" xfId="0" applyFont="1" applyBorder="1"/>
    <xf numFmtId="164" fontId="17" fillId="0" borderId="1" xfId="0" applyNumberFormat="1" applyFont="1" applyBorder="1"/>
    <xf numFmtId="0" fontId="17" fillId="0" borderId="32" xfId="0" applyFont="1" applyBorder="1" applyAlignment="1">
      <alignment horizontal="center"/>
    </xf>
    <xf numFmtId="164" fontId="15" fillId="0" borderId="32" xfId="1" applyNumberFormat="1" applyFont="1" applyBorder="1"/>
    <xf numFmtId="164" fontId="15" fillId="0" borderId="1" xfId="1" applyNumberFormat="1" applyFont="1" applyBorder="1"/>
    <xf numFmtId="164" fontId="17" fillId="0" borderId="1" xfId="1" applyNumberFormat="1" applyFont="1" applyBorder="1"/>
    <xf numFmtId="164" fontId="25" fillId="0" borderId="11" xfId="1" applyNumberFormat="1" applyFont="1" applyBorder="1"/>
    <xf numFmtId="0" fontId="25" fillId="0" borderId="0" xfId="0" applyFont="1"/>
    <xf numFmtId="0" fontId="25" fillId="0" borderId="19" xfId="0" applyFont="1" applyBorder="1"/>
    <xf numFmtId="0" fontId="23" fillId="0" borderId="5" xfId="0" applyFont="1" applyBorder="1"/>
    <xf numFmtId="164" fontId="0" fillId="0" borderId="5" xfId="0" applyNumberFormat="1" applyBorder="1"/>
    <xf numFmtId="164" fontId="0" fillId="0" borderId="24" xfId="0" applyNumberFormat="1" applyBorder="1"/>
    <xf numFmtId="0" fontId="0" fillId="0" borderId="33" xfId="0" applyBorder="1"/>
    <xf numFmtId="0" fontId="0" fillId="0" borderId="34" xfId="0" applyBorder="1"/>
    <xf numFmtId="43" fontId="15" fillId="0" borderId="0" xfId="0" applyNumberFormat="1" applyFont="1"/>
    <xf numFmtId="1" fontId="6" fillId="0" borderId="0" xfId="0" applyNumberFormat="1" applyFont="1"/>
    <xf numFmtId="164" fontId="6" fillId="0" borderId="1" xfId="2" applyNumberFormat="1" applyFont="1" applyBorder="1"/>
    <xf numFmtId="0" fontId="29" fillId="0" borderId="0" xfId="0" applyFont="1"/>
    <xf numFmtId="43" fontId="29" fillId="0" borderId="0" xfId="1" applyFont="1"/>
    <xf numFmtId="0" fontId="6" fillId="0" borderId="6" xfId="0" applyFont="1" applyBorder="1" applyAlignment="1">
      <alignment horizontal="center"/>
    </xf>
    <xf numFmtId="0" fontId="6" fillId="0" borderId="10"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6" fillId="0" borderId="32" xfId="0" applyFont="1" applyBorder="1" applyAlignment="1">
      <alignment horizontal="center"/>
    </xf>
    <xf numFmtId="0" fontId="7" fillId="0" borderId="0" xfId="0" applyFont="1" applyAlignment="1">
      <alignment horizontal="center" vertical="center"/>
    </xf>
    <xf numFmtId="164" fontId="6" fillId="0" borderId="6" xfId="1" applyNumberFormat="1" applyFont="1" applyBorder="1" applyAlignment="1">
      <alignment horizontal="center"/>
    </xf>
    <xf numFmtId="164" fontId="6" fillId="0" borderId="10" xfId="1" applyNumberFormat="1" applyFont="1" applyBorder="1" applyAlignment="1">
      <alignment horizontal="center"/>
    </xf>
    <xf numFmtId="43" fontId="0" fillId="2" borderId="0" xfId="1" applyFont="1" applyFill="1" applyAlignment="1">
      <alignment horizontal="center"/>
    </xf>
    <xf numFmtId="43" fontId="2" fillId="2" borderId="0" xfId="1" applyFont="1" applyFill="1" applyAlignment="1">
      <alignment horizontal="center"/>
    </xf>
    <xf numFmtId="43" fontId="2" fillId="4" borderId="0" xfId="1" applyFont="1" applyFill="1" applyAlignment="1">
      <alignment horizontal="center"/>
    </xf>
    <xf numFmtId="43" fontId="0" fillId="4" borderId="0" xfId="1" applyFont="1" applyFill="1" applyAlignment="1">
      <alignment horizontal="center"/>
    </xf>
    <xf numFmtId="43" fontId="2" fillId="3" borderId="0" xfId="1" applyFont="1" applyFill="1" applyAlignment="1">
      <alignment horizontal="center"/>
    </xf>
    <xf numFmtId="43" fontId="0" fillId="3" borderId="0" xfId="1" applyFont="1" applyFill="1" applyAlignment="1">
      <alignment horizontal="center"/>
    </xf>
    <xf numFmtId="43" fontId="6" fillId="0" borderId="6" xfId="1" applyFont="1" applyBorder="1" applyAlignment="1">
      <alignment horizontal="center"/>
    </xf>
    <xf numFmtId="0" fontId="22" fillId="0" borderId="4" xfId="0" applyFont="1" applyBorder="1" applyAlignment="1">
      <alignment horizontal="center" vertical="top"/>
    </xf>
    <xf numFmtId="0" fontId="22" fillId="0" borderId="30" xfId="0" applyFont="1" applyBorder="1" applyAlignment="1">
      <alignment horizontal="center" vertical="top"/>
    </xf>
    <xf numFmtId="0" fontId="22" fillId="0" borderId="31" xfId="0" applyFont="1" applyBorder="1" applyAlignment="1">
      <alignment horizontal="center" vertical="top"/>
    </xf>
    <xf numFmtId="0" fontId="24" fillId="0" borderId="35" xfId="0" applyFont="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0" fontId="24" fillId="0" borderId="38" xfId="0" applyFont="1" applyBorder="1" applyAlignment="1">
      <alignment horizontal="center"/>
    </xf>
    <xf numFmtId="0" fontId="24" fillId="0" borderId="39" xfId="0" applyFont="1" applyBorder="1" applyAlignment="1">
      <alignment horizontal="center"/>
    </xf>
    <xf numFmtId="0" fontId="24" fillId="0" borderId="40" xfId="0" applyFont="1" applyBorder="1" applyAlignment="1">
      <alignment horizontal="center"/>
    </xf>
    <xf numFmtId="0" fontId="24" fillId="0" borderId="13" xfId="0" applyFont="1" applyBorder="1" applyAlignment="1">
      <alignment horizontal="center"/>
    </xf>
    <xf numFmtId="0" fontId="24" fillId="0" borderId="14" xfId="0" applyFont="1" applyBorder="1" applyAlignment="1">
      <alignment horizontal="center"/>
    </xf>
    <xf numFmtId="0" fontId="24" fillId="0" borderId="15" xfId="0" applyFont="1" applyBorder="1"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21773</xdr:colOff>
      <xdr:row>0</xdr:row>
      <xdr:rowOff>0</xdr:rowOff>
    </xdr:from>
    <xdr:to>
      <xdr:col>12</xdr:col>
      <xdr:colOff>487680</xdr:colOff>
      <xdr:row>6</xdr:row>
      <xdr:rowOff>106679</xdr:rowOff>
    </xdr:to>
    <xdr:pic>
      <xdr:nvPicPr>
        <xdr:cNvPr id="3" name="Picture 2">
          <a:extLst>
            <a:ext uri="{FF2B5EF4-FFF2-40B4-BE49-F238E27FC236}">
              <a16:creationId xmlns:a16="http://schemas.microsoft.com/office/drawing/2014/main" id="{5A017C69-DCF2-58B3-291B-A6366D9765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773" y="0"/>
          <a:ext cx="7781107" cy="12039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D69BC-4CA1-4931-89A9-54198DB5780F}">
  <sheetPr codeName="Sheet1"/>
  <dimension ref="A8:A10"/>
  <sheetViews>
    <sheetView showGridLines="0" showRowColHeaders="0" zoomScaleNormal="100" workbookViewId="0">
      <selection activeCell="K16" sqref="K16"/>
    </sheetView>
  </sheetViews>
  <sheetFormatPr defaultRowHeight="14.4" x14ac:dyDescent="0.3"/>
  <sheetData>
    <row r="8" spans="1:1" ht="21" x14ac:dyDescent="0.4">
      <c r="A8" s="87" t="s">
        <v>165</v>
      </c>
    </row>
    <row r="10" spans="1:1" ht="21" x14ac:dyDescent="0.4">
      <c r="A10" s="87" t="s">
        <v>187</v>
      </c>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D8DC3-4E4B-477F-9FFB-FBD8040604C7}">
  <sheetPr codeName="Sheet3"/>
  <dimension ref="A1:P70"/>
  <sheetViews>
    <sheetView topLeftCell="A2" zoomScale="70" zoomScaleNormal="70" workbookViewId="0">
      <selection activeCell="H31" sqref="H31"/>
    </sheetView>
  </sheetViews>
  <sheetFormatPr defaultColWidth="12" defaultRowHeight="13.8" x14ac:dyDescent="0.25"/>
  <cols>
    <col min="1" max="1" width="52.44140625" style="3" customWidth="1"/>
    <col min="2" max="2" width="16.5546875" style="3" customWidth="1"/>
    <col min="3" max="3" width="15" style="3" bestFit="1" customWidth="1"/>
    <col min="4" max="4" width="14" style="3" bestFit="1" customWidth="1"/>
    <col min="5" max="6" width="14" style="3" customWidth="1"/>
    <col min="7" max="7" width="11.109375" style="3" bestFit="1" customWidth="1"/>
    <col min="8" max="8" width="11.109375" style="3" customWidth="1"/>
    <col min="9" max="9" width="17.88671875" style="3" customWidth="1"/>
    <col min="10" max="10" width="14.77734375" style="3" customWidth="1"/>
    <col min="11" max="11" width="12.21875" style="3" bestFit="1" customWidth="1"/>
    <col min="12" max="16384" width="12" style="3"/>
  </cols>
  <sheetData>
    <row r="1" spans="1:12" ht="18" thickBot="1" x14ac:dyDescent="0.3">
      <c r="A1" s="88" t="s">
        <v>89</v>
      </c>
      <c r="B1" s="22"/>
      <c r="C1" s="22"/>
      <c r="D1" s="118"/>
      <c r="E1" s="52"/>
      <c r="F1" s="52"/>
      <c r="G1" s="22"/>
      <c r="H1" s="22"/>
      <c r="I1" s="22"/>
    </row>
    <row r="2" spans="1:12" ht="14.4" thickTop="1" x14ac:dyDescent="0.25">
      <c r="A2" s="17" t="s">
        <v>0</v>
      </c>
      <c r="B2" s="17" t="s">
        <v>1</v>
      </c>
      <c r="C2" s="17" t="s">
        <v>2</v>
      </c>
      <c r="D2" s="119" t="s">
        <v>3</v>
      </c>
      <c r="E2" s="17"/>
      <c r="F2" s="17"/>
      <c r="G2" s="17"/>
      <c r="H2" s="17"/>
      <c r="I2" s="16" t="s">
        <v>76</v>
      </c>
    </row>
    <row r="3" spans="1:12" x14ac:dyDescent="0.25">
      <c r="A3" s="17"/>
      <c r="B3" s="9" t="s">
        <v>46</v>
      </c>
      <c r="C3" s="9" t="s">
        <v>47</v>
      </c>
      <c r="D3" s="120" t="s">
        <v>45</v>
      </c>
      <c r="E3" s="9"/>
      <c r="F3" s="9"/>
      <c r="G3" s="9"/>
      <c r="H3" s="9"/>
      <c r="I3" s="14" t="s">
        <v>145</v>
      </c>
    </row>
    <row r="4" spans="1:12" x14ac:dyDescent="0.25">
      <c r="A4" s="17"/>
      <c r="B4" s="200" t="s">
        <v>200</v>
      </c>
      <c r="C4" s="200"/>
      <c r="D4" s="201"/>
      <c r="E4" s="200" t="s">
        <v>201</v>
      </c>
      <c r="F4" s="200"/>
      <c r="G4" s="200"/>
      <c r="H4" s="29"/>
      <c r="I4" s="14" t="s">
        <v>146</v>
      </c>
    </row>
    <row r="5" spans="1:12" x14ac:dyDescent="0.25">
      <c r="A5" s="3" t="s">
        <v>7</v>
      </c>
      <c r="B5" s="7">
        <v>1271439</v>
      </c>
      <c r="C5" s="50">
        <v>578135.1</v>
      </c>
      <c r="D5" s="121">
        <v>776222</v>
      </c>
      <c r="E5" s="8">
        <f>B5/$J$5</f>
        <v>10474.001153307521</v>
      </c>
      <c r="F5" s="8">
        <f t="shared" ref="F5:G9" si="0">C5/$J$5</f>
        <v>4762.6254221929321</v>
      </c>
      <c r="G5" s="8">
        <f t="shared" si="0"/>
        <v>6394.4476480764479</v>
      </c>
      <c r="H5" s="8"/>
      <c r="I5" s="126" t="s">
        <v>202</v>
      </c>
      <c r="J5" s="126">
        <v>121.39</v>
      </c>
    </row>
    <row r="6" spans="1:12" x14ac:dyDescent="0.25">
      <c r="A6" s="3" t="s">
        <v>4</v>
      </c>
      <c r="B6" s="7">
        <v>21014.07</v>
      </c>
      <c r="C6" s="50">
        <v>36652.410000000003</v>
      </c>
      <c r="D6" s="121">
        <v>32184.32</v>
      </c>
      <c r="E6" s="8">
        <f t="shared" ref="E6:E9" si="1">B6/$J$5</f>
        <v>173.11203558777493</v>
      </c>
      <c r="F6" s="8">
        <f t="shared" si="0"/>
        <v>301.93928659691903</v>
      </c>
      <c r="G6" s="8">
        <f t="shared" si="0"/>
        <v>265.13155943652691</v>
      </c>
      <c r="H6" s="8"/>
    </row>
    <row r="7" spans="1:12" x14ac:dyDescent="0.25">
      <c r="A7" s="3" t="s">
        <v>9</v>
      </c>
      <c r="B7" s="7">
        <v>40977.39</v>
      </c>
      <c r="C7" s="50">
        <v>32989.85</v>
      </c>
      <c r="D7" s="121">
        <v>35272</v>
      </c>
      <c r="E7" s="8">
        <f t="shared" si="1"/>
        <v>337.56808633330587</v>
      </c>
      <c r="F7" s="8">
        <f t="shared" si="0"/>
        <v>271.76744377625835</v>
      </c>
      <c r="G7" s="8">
        <f t="shared" si="0"/>
        <v>290.56759205865393</v>
      </c>
      <c r="H7" s="8"/>
      <c r="I7" s="14"/>
    </row>
    <row r="8" spans="1:12" x14ac:dyDescent="0.25">
      <c r="A8" s="3" t="s">
        <v>5</v>
      </c>
      <c r="B8" s="7">
        <v>170.40819999999999</v>
      </c>
      <c r="C8" s="50">
        <v>874.7133</v>
      </c>
      <c r="D8" s="121">
        <v>673.48329999999999</v>
      </c>
      <c r="E8" s="175">
        <f t="shared" si="1"/>
        <v>1.4038075624021749</v>
      </c>
      <c r="F8" s="175">
        <f t="shared" si="0"/>
        <v>7.2058101985336522</v>
      </c>
      <c r="G8" s="175">
        <f t="shared" si="0"/>
        <v>5.5480953950078256</v>
      </c>
      <c r="H8" s="8"/>
      <c r="I8" s="14"/>
    </row>
    <row r="9" spans="1:12" x14ac:dyDescent="0.25">
      <c r="A9" s="16" t="s">
        <v>6</v>
      </c>
      <c r="B9" s="33">
        <f>SUM(B5:B8)</f>
        <v>1333600.8681999999</v>
      </c>
      <c r="C9" s="33">
        <f t="shared" ref="C9:D9" si="2">SUM(C5:C8)</f>
        <v>648652.07329999993</v>
      </c>
      <c r="D9" s="122">
        <f t="shared" si="2"/>
        <v>844351.80329999991</v>
      </c>
      <c r="E9" s="8">
        <f t="shared" si="1"/>
        <v>10986.085082791004</v>
      </c>
      <c r="F9" s="8">
        <f t="shared" si="0"/>
        <v>5343.5379627646425</v>
      </c>
      <c r="G9" s="8">
        <f t="shared" si="0"/>
        <v>6955.6948949666357</v>
      </c>
      <c r="H9" s="8"/>
      <c r="K9" s="47"/>
    </row>
    <row r="10" spans="1:12" x14ac:dyDescent="0.25">
      <c r="D10" s="4"/>
      <c r="I10" s="73"/>
      <c r="J10" s="17"/>
      <c r="K10" s="17"/>
      <c r="L10" s="17"/>
    </row>
    <row r="11" spans="1:12" ht="18" thickBot="1" x14ac:dyDescent="0.3">
      <c r="A11" s="88" t="s">
        <v>88</v>
      </c>
      <c r="B11" s="45"/>
      <c r="C11" s="45"/>
      <c r="D11" s="123"/>
      <c r="E11" s="45"/>
      <c r="F11" s="45"/>
      <c r="G11" s="45"/>
      <c r="H11" s="45"/>
      <c r="I11" s="45"/>
      <c r="J11" s="9"/>
      <c r="K11" s="9"/>
      <c r="L11" s="9"/>
    </row>
    <row r="12" spans="1:12" ht="14.4" thickTop="1" x14ac:dyDescent="0.25">
      <c r="A12" s="17" t="s">
        <v>0</v>
      </c>
      <c r="B12" s="48" t="s">
        <v>14</v>
      </c>
      <c r="C12" s="48" t="s">
        <v>16</v>
      </c>
      <c r="D12" s="124" t="s">
        <v>15</v>
      </c>
      <c r="E12" s="17"/>
      <c r="F12" s="17"/>
      <c r="G12" s="14"/>
      <c r="H12" s="14"/>
    </row>
    <row r="13" spans="1:12" x14ac:dyDescent="0.25">
      <c r="A13" s="17"/>
      <c r="B13" s="9" t="s">
        <v>49</v>
      </c>
      <c r="C13" s="9" t="s">
        <v>37</v>
      </c>
      <c r="D13" s="120" t="s">
        <v>48</v>
      </c>
      <c r="E13" s="9"/>
      <c r="F13" s="9"/>
    </row>
    <row r="14" spans="1:12" x14ac:dyDescent="0.25">
      <c r="A14" s="17"/>
      <c r="B14" s="200" t="s">
        <v>200</v>
      </c>
      <c r="C14" s="200"/>
      <c r="D14" s="201"/>
      <c r="E14" s="200" t="s">
        <v>201</v>
      </c>
      <c r="F14" s="200"/>
      <c r="G14" s="200"/>
      <c r="H14" s="29"/>
    </row>
    <row r="15" spans="1:12" x14ac:dyDescent="0.25">
      <c r="A15" s="3" t="s">
        <v>7</v>
      </c>
      <c r="B15" s="7">
        <v>1061263</v>
      </c>
      <c r="C15" s="50">
        <v>566849.9</v>
      </c>
      <c r="D15" s="121">
        <v>925530.2</v>
      </c>
      <c r="E15" s="8">
        <f>B15/$J$5</f>
        <v>8742.5899991762089</v>
      </c>
      <c r="F15" s="8">
        <f t="shared" ref="F15:G19" si="3">C15/$J$5</f>
        <v>4669.6589504901558</v>
      </c>
      <c r="G15" s="8">
        <f t="shared" si="3"/>
        <v>7624.4352912101485</v>
      </c>
      <c r="H15" s="8"/>
    </row>
    <row r="16" spans="1:12" x14ac:dyDescent="0.25">
      <c r="A16" s="3" t="s">
        <v>4</v>
      </c>
      <c r="B16" s="7">
        <v>23074.51</v>
      </c>
      <c r="C16" s="50">
        <v>26342.080000000002</v>
      </c>
      <c r="D16" s="121">
        <v>46101.11</v>
      </c>
      <c r="E16" s="8">
        <f t="shared" ref="E16:E19" si="4">B16/$J$5</f>
        <v>190.08575665211302</v>
      </c>
      <c r="F16" s="8">
        <f t="shared" si="3"/>
        <v>217.00370705988962</v>
      </c>
      <c r="G16" s="8">
        <f t="shared" si="3"/>
        <v>379.77683499464536</v>
      </c>
      <c r="H16" s="8"/>
    </row>
    <row r="17" spans="1:16" x14ac:dyDescent="0.25">
      <c r="A17" s="3" t="s">
        <v>9</v>
      </c>
      <c r="B17" s="6">
        <v>32519.16</v>
      </c>
      <c r="C17" s="50">
        <v>32524.16</v>
      </c>
      <c r="D17" s="121">
        <v>40942.29</v>
      </c>
      <c r="E17" s="8">
        <f t="shared" si="4"/>
        <v>267.88994151083284</v>
      </c>
      <c r="F17" s="8">
        <f t="shared" si="3"/>
        <v>267.93113106516188</v>
      </c>
      <c r="G17" s="8">
        <f t="shared" si="3"/>
        <v>337.27893566191614</v>
      </c>
      <c r="H17" s="8"/>
    </row>
    <row r="18" spans="1:16" x14ac:dyDescent="0.25">
      <c r="A18" s="3" t="s">
        <v>5</v>
      </c>
      <c r="B18" s="6">
        <v>140.625</v>
      </c>
      <c r="C18" s="50">
        <v>146.13630000000001</v>
      </c>
      <c r="D18" s="121">
        <v>1764.2860000000001</v>
      </c>
      <c r="E18" s="175">
        <f t="shared" si="4"/>
        <v>1.1584562155037483</v>
      </c>
      <c r="F18" s="175">
        <f t="shared" si="3"/>
        <v>1.2038578136584563</v>
      </c>
      <c r="G18" s="175">
        <f t="shared" si="3"/>
        <v>14.534030809786639</v>
      </c>
      <c r="H18" s="8"/>
    </row>
    <row r="19" spans="1:16" x14ac:dyDescent="0.25">
      <c r="A19" s="16" t="s">
        <v>6</v>
      </c>
      <c r="B19" s="33">
        <f>SUM(B15:B18)</f>
        <v>1116997.2949999999</v>
      </c>
      <c r="C19" s="33">
        <f t="shared" ref="C19:D19" si="5">SUM(C15:C18)</f>
        <v>625862.27630000003</v>
      </c>
      <c r="D19" s="122">
        <f t="shared" si="5"/>
        <v>1014337.8859999999</v>
      </c>
      <c r="E19" s="8">
        <f t="shared" si="4"/>
        <v>9201.7241535546582</v>
      </c>
      <c r="F19" s="8">
        <f t="shared" si="3"/>
        <v>5155.7976464288658</v>
      </c>
      <c r="G19" s="8">
        <f t="shared" si="3"/>
        <v>8356.0250926764966</v>
      </c>
      <c r="H19" s="8"/>
    </row>
    <row r="20" spans="1:16" x14ac:dyDescent="0.25">
      <c r="D20" s="4"/>
    </row>
    <row r="21" spans="1:16" ht="18" thickBot="1" x14ac:dyDescent="0.3">
      <c r="A21" s="88" t="s">
        <v>87</v>
      </c>
      <c r="B21" s="22"/>
      <c r="C21" s="22"/>
      <c r="D21" s="125"/>
      <c r="E21" s="22"/>
      <c r="F21" s="22"/>
      <c r="G21" s="22"/>
      <c r="H21" s="22"/>
      <c r="I21" s="22"/>
    </row>
    <row r="22" spans="1:16" ht="14.4" thickTop="1" x14ac:dyDescent="0.25">
      <c r="A22" s="17" t="s">
        <v>0</v>
      </c>
      <c r="B22" s="17" t="s">
        <v>226</v>
      </c>
      <c r="C22" s="17" t="s">
        <v>227</v>
      </c>
      <c r="D22" s="17" t="s">
        <v>38</v>
      </c>
      <c r="E22" s="17" t="s">
        <v>40</v>
      </c>
      <c r="F22" s="119" t="s">
        <v>3</v>
      </c>
      <c r="G22" s="17"/>
      <c r="H22" s="17"/>
      <c r="M22" s="16" t="s">
        <v>76</v>
      </c>
    </row>
    <row r="23" spans="1:16" x14ac:dyDescent="0.25">
      <c r="A23" s="17"/>
      <c r="B23" s="3" t="s">
        <v>228</v>
      </c>
      <c r="C23" s="3" t="s">
        <v>229</v>
      </c>
      <c r="D23" s="9" t="s">
        <v>51</v>
      </c>
      <c r="E23" s="9" t="s">
        <v>52</v>
      </c>
      <c r="F23" s="120" t="s">
        <v>45</v>
      </c>
      <c r="G23" s="9"/>
      <c r="H23" s="9"/>
      <c r="M23" s="14" t="s">
        <v>147</v>
      </c>
    </row>
    <row r="24" spans="1:16" ht="14.4" customHeight="1" x14ac:dyDescent="0.25">
      <c r="A24" s="17"/>
      <c r="B24" s="202" t="s">
        <v>200</v>
      </c>
      <c r="C24" s="202"/>
      <c r="D24" s="202"/>
      <c r="E24" s="202"/>
      <c r="F24" s="203"/>
      <c r="G24" s="204" t="s">
        <v>201</v>
      </c>
      <c r="H24" s="202"/>
      <c r="I24" s="202"/>
      <c r="J24" s="202"/>
      <c r="K24" s="202"/>
      <c r="M24" s="14"/>
    </row>
    <row r="25" spans="1:16" x14ac:dyDescent="0.25">
      <c r="A25" s="3" t="s">
        <v>7</v>
      </c>
      <c r="B25" s="8">
        <v>297056.3</v>
      </c>
      <c r="C25" s="8">
        <v>1065295</v>
      </c>
      <c r="D25" s="7">
        <v>629274.69999999995</v>
      </c>
      <c r="E25" s="7">
        <v>861775.1</v>
      </c>
      <c r="F25" s="121">
        <v>776222</v>
      </c>
      <c r="G25" s="8">
        <f t="shared" ref="G25:H29" si="6">B25/$J$5</f>
        <v>2447.1233215256611</v>
      </c>
      <c r="H25" s="8">
        <f t="shared" si="6"/>
        <v>8775.8052557871324</v>
      </c>
      <c r="I25" s="8">
        <f t="shared" ref="I25:K29" si="7">D25/$J$5</f>
        <v>5183.9088887058242</v>
      </c>
      <c r="J25" s="8">
        <f t="shared" si="7"/>
        <v>7099.2264601697007</v>
      </c>
      <c r="K25" s="8">
        <f t="shared" si="7"/>
        <v>6394.4476480764479</v>
      </c>
      <c r="M25" s="19" t="s">
        <v>148</v>
      </c>
    </row>
    <row r="26" spans="1:16" x14ac:dyDescent="0.25">
      <c r="A26" s="3" t="s">
        <v>4</v>
      </c>
      <c r="B26" s="8">
        <v>31362.400000000001</v>
      </c>
      <c r="C26" s="8">
        <v>44497.31</v>
      </c>
      <c r="D26" s="7">
        <v>18611.12</v>
      </c>
      <c r="E26" s="7">
        <v>42157.41</v>
      </c>
      <c r="F26" s="121">
        <v>32184.32</v>
      </c>
      <c r="G26" s="8">
        <f t="shared" si="6"/>
        <v>258.36065573770492</v>
      </c>
      <c r="H26" s="8">
        <f t="shared" si="6"/>
        <v>366.56487354806819</v>
      </c>
      <c r="I26" s="8">
        <f t="shared" si="7"/>
        <v>153.31674767279017</v>
      </c>
      <c r="J26" s="8">
        <f t="shared" si="7"/>
        <v>347.28898591317244</v>
      </c>
      <c r="K26" s="8">
        <f t="shared" si="7"/>
        <v>265.13155943652691</v>
      </c>
    </row>
    <row r="27" spans="1:16" x14ac:dyDescent="0.25">
      <c r="A27" s="3" t="s">
        <v>9</v>
      </c>
      <c r="B27" s="8">
        <v>17211.75</v>
      </c>
      <c r="C27" s="8">
        <v>35629.57</v>
      </c>
      <c r="D27" s="7">
        <v>26846.44</v>
      </c>
      <c r="E27" s="7">
        <v>34043.919999999998</v>
      </c>
      <c r="F27" s="121">
        <v>35272</v>
      </c>
      <c r="G27" s="8">
        <f t="shared" si="6"/>
        <v>141.78886234450943</v>
      </c>
      <c r="H27" s="8">
        <f t="shared" si="6"/>
        <v>293.51322184693959</v>
      </c>
      <c r="I27" s="8">
        <f t="shared" si="7"/>
        <v>221.15857978416673</v>
      </c>
      <c r="J27" s="8">
        <f t="shared" si="7"/>
        <v>280.45077848257682</v>
      </c>
      <c r="K27" s="8">
        <f t="shared" si="7"/>
        <v>290.56759205865393</v>
      </c>
    </row>
    <row r="28" spans="1:16" x14ac:dyDescent="0.25">
      <c r="A28" s="3" t="s">
        <v>5</v>
      </c>
      <c r="B28" s="7">
        <v>0</v>
      </c>
      <c r="C28" s="8">
        <v>366.12900000000002</v>
      </c>
      <c r="D28" s="7">
        <v>1152.2159999999999</v>
      </c>
      <c r="E28" s="7">
        <v>0</v>
      </c>
      <c r="F28" s="121">
        <v>673.48329999999999</v>
      </c>
      <c r="G28" s="175">
        <f t="shared" si="6"/>
        <v>0</v>
      </c>
      <c r="H28" s="175">
        <f t="shared" si="6"/>
        <v>3.0161380673861111</v>
      </c>
      <c r="I28" s="175">
        <f t="shared" si="7"/>
        <v>9.4918527061537183</v>
      </c>
      <c r="J28" s="175">
        <f t="shared" si="7"/>
        <v>0</v>
      </c>
      <c r="K28" s="175">
        <f t="shared" si="7"/>
        <v>5.5480953950078256</v>
      </c>
    </row>
    <row r="29" spans="1:16" x14ac:dyDescent="0.25">
      <c r="A29" s="16" t="s">
        <v>6</v>
      </c>
      <c r="B29" s="33">
        <f>SUM(B25:B28)</f>
        <v>345630.45</v>
      </c>
      <c r="C29" s="33">
        <f>SUM(C25:C28)</f>
        <v>1145788.0090000001</v>
      </c>
      <c r="D29" s="33">
        <f>SUM(D25:D28)</f>
        <v>675884.47599999991</v>
      </c>
      <c r="E29" s="33">
        <f>SUM(E25:E28)</f>
        <v>937976.43</v>
      </c>
      <c r="F29" s="122">
        <f t="shared" ref="F29" si="8">SUM(F25:F28)</f>
        <v>844351.80329999991</v>
      </c>
      <c r="G29" s="8">
        <f t="shared" si="6"/>
        <v>2847.2728396078755</v>
      </c>
      <c r="H29" s="8">
        <f t="shared" si="6"/>
        <v>9438.8994892495266</v>
      </c>
      <c r="I29" s="8">
        <f t="shared" si="7"/>
        <v>5567.8760688689345</v>
      </c>
      <c r="J29" s="8">
        <f t="shared" si="7"/>
        <v>7726.9662245654508</v>
      </c>
      <c r="K29" s="8">
        <f t="shared" si="7"/>
        <v>6955.6948949666357</v>
      </c>
      <c r="P29" s="15"/>
    </row>
    <row r="30" spans="1:16" x14ac:dyDescent="0.25">
      <c r="J30" s="21"/>
    </row>
    <row r="31" spans="1:16" ht="18" thickBot="1" x14ac:dyDescent="0.3">
      <c r="A31" s="88" t="s">
        <v>126</v>
      </c>
      <c r="B31" s="45"/>
      <c r="C31" s="45"/>
      <c r="D31" s="45"/>
      <c r="E31" s="45"/>
      <c r="F31" s="45"/>
      <c r="G31" s="45"/>
      <c r="H31" s="45"/>
      <c r="I31" s="45"/>
    </row>
    <row r="32" spans="1:16" ht="14.4" thickTop="1" x14ac:dyDescent="0.25">
      <c r="A32" s="17" t="s">
        <v>0</v>
      </c>
      <c r="B32" s="48" t="s">
        <v>14</v>
      </c>
      <c r="C32" s="48" t="s">
        <v>16</v>
      </c>
      <c r="D32" s="119" t="s">
        <v>15</v>
      </c>
      <c r="E32" s="17"/>
      <c r="F32" s="17"/>
      <c r="I32" s="16" t="s">
        <v>76</v>
      </c>
    </row>
    <row r="33" spans="1:13" x14ac:dyDescent="0.25">
      <c r="A33" s="17" t="s">
        <v>38</v>
      </c>
      <c r="B33" s="9" t="s">
        <v>120</v>
      </c>
      <c r="C33" s="9" t="s">
        <v>121</v>
      </c>
      <c r="D33" s="120" t="s">
        <v>122</v>
      </c>
      <c r="E33" s="9"/>
      <c r="F33" s="9"/>
      <c r="I33" s="14" t="s">
        <v>127</v>
      </c>
    </row>
    <row r="34" spans="1:13" x14ac:dyDescent="0.25">
      <c r="A34" s="17"/>
      <c r="B34" s="200" t="s">
        <v>200</v>
      </c>
      <c r="C34" s="200"/>
      <c r="D34" s="201"/>
      <c r="E34" s="200" t="s">
        <v>201</v>
      </c>
      <c r="F34" s="200"/>
      <c r="G34" s="200"/>
      <c r="H34" s="29"/>
      <c r="I34" s="14"/>
    </row>
    <row r="35" spans="1:13" x14ac:dyDescent="0.25">
      <c r="A35" s="3" t="s">
        <v>7</v>
      </c>
      <c r="B35" s="7">
        <v>631960.80000000005</v>
      </c>
      <c r="C35" s="50">
        <v>542880.30000000005</v>
      </c>
      <c r="D35" s="121">
        <v>741505.3</v>
      </c>
      <c r="E35" s="8">
        <f>B35/$J$5</f>
        <v>5206.036741082462</v>
      </c>
      <c r="F35" s="8">
        <f t="shared" ref="F35:G39" si="9">C35/$J$5</f>
        <v>4472.1995222011701</v>
      </c>
      <c r="G35" s="8">
        <f t="shared" si="9"/>
        <v>6108.4545679215753</v>
      </c>
      <c r="H35" s="8"/>
      <c r="I35" s="51" t="s">
        <v>149</v>
      </c>
    </row>
    <row r="36" spans="1:13" x14ac:dyDescent="0.25">
      <c r="A36" s="3" t="s">
        <v>4</v>
      </c>
      <c r="B36" s="7">
        <v>9630.3919999999998</v>
      </c>
      <c r="C36" s="50">
        <v>16011.31</v>
      </c>
      <c r="D36" s="121">
        <v>27123.27</v>
      </c>
      <c r="E36" s="8">
        <f t="shared" ref="E36:E39" si="10">B36/$J$5</f>
        <v>79.334310898756073</v>
      </c>
      <c r="F36" s="8">
        <f t="shared" si="9"/>
        <v>131.89974462476314</v>
      </c>
      <c r="G36" s="8">
        <f t="shared" si="9"/>
        <v>223.43908064914737</v>
      </c>
      <c r="H36" s="8"/>
      <c r="I36" s="51"/>
    </row>
    <row r="37" spans="1:13" x14ac:dyDescent="0.25">
      <c r="A37" s="3" t="s">
        <v>9</v>
      </c>
      <c r="B37" s="6">
        <v>26661.18</v>
      </c>
      <c r="C37" s="50">
        <v>23050.94</v>
      </c>
      <c r="D37" s="121">
        <v>31948.83</v>
      </c>
      <c r="E37" s="8">
        <f t="shared" si="10"/>
        <v>219.63242441716781</v>
      </c>
      <c r="F37" s="8">
        <f t="shared" si="9"/>
        <v>189.89158909300599</v>
      </c>
      <c r="G37" s="8">
        <f t="shared" si="9"/>
        <v>263.19161380673864</v>
      </c>
      <c r="H37" s="8"/>
      <c r="I37" s="51"/>
    </row>
    <row r="38" spans="1:13" x14ac:dyDescent="0.25">
      <c r="A38" s="3" t="s">
        <v>5</v>
      </c>
      <c r="B38" s="6">
        <v>264.70589999999999</v>
      </c>
      <c r="C38" s="50">
        <v>29.535799999999998</v>
      </c>
      <c r="D38" s="121">
        <v>3133.3330000000001</v>
      </c>
      <c r="E38" s="8">
        <f t="shared" si="10"/>
        <v>2.1806236098525411</v>
      </c>
      <c r="F38" s="8">
        <f t="shared" si="9"/>
        <v>0.24331328775022654</v>
      </c>
      <c r="G38" s="8">
        <f t="shared" si="9"/>
        <v>25.812117966883598</v>
      </c>
      <c r="H38" s="8"/>
      <c r="I38" s="19"/>
    </row>
    <row r="39" spans="1:13" x14ac:dyDescent="0.25">
      <c r="A39" s="16" t="s">
        <v>6</v>
      </c>
      <c r="B39" s="33">
        <f>SUM(B35:B38)</f>
        <v>668517.07790000003</v>
      </c>
      <c r="C39" s="33">
        <f t="shared" ref="C39:D39" si="11">SUM(C35:C38)</f>
        <v>581972.0858</v>
      </c>
      <c r="D39" s="122">
        <f t="shared" si="11"/>
        <v>803710.73300000001</v>
      </c>
      <c r="E39" s="8">
        <f t="shared" si="10"/>
        <v>5507.1841000082386</v>
      </c>
      <c r="F39" s="8">
        <f t="shared" si="9"/>
        <v>4794.2341692066893</v>
      </c>
      <c r="G39" s="8">
        <f t="shared" si="9"/>
        <v>6620.897380344345</v>
      </c>
      <c r="H39" s="8"/>
      <c r="I39" s="51"/>
    </row>
    <row r="40" spans="1:13" x14ac:dyDescent="0.25">
      <c r="A40" s="17" t="s">
        <v>40</v>
      </c>
      <c r="B40" s="9" t="s">
        <v>123</v>
      </c>
      <c r="C40" s="9" t="s">
        <v>124</v>
      </c>
      <c r="D40" s="120" t="s">
        <v>125</v>
      </c>
      <c r="E40" s="9"/>
      <c r="F40" s="9"/>
      <c r="G40" s="21"/>
      <c r="H40" s="21"/>
    </row>
    <row r="41" spans="1:13" x14ac:dyDescent="0.25">
      <c r="A41" s="17"/>
      <c r="B41" s="200" t="s">
        <v>200</v>
      </c>
      <c r="C41" s="200"/>
      <c r="D41" s="201"/>
      <c r="E41" s="200" t="s">
        <v>201</v>
      </c>
      <c r="F41" s="200"/>
      <c r="G41" s="200"/>
      <c r="H41" s="29"/>
    </row>
    <row r="42" spans="1:13" x14ac:dyDescent="0.25">
      <c r="A42" s="3" t="s">
        <v>7</v>
      </c>
      <c r="B42" s="7">
        <v>775600</v>
      </c>
      <c r="C42" s="50">
        <v>1021939</v>
      </c>
      <c r="D42" s="121">
        <v>746730.2</v>
      </c>
      <c r="E42" s="8">
        <f>B42/$J$5</f>
        <v>6389.3236675179178</v>
      </c>
      <c r="F42" s="8">
        <f t="shared" ref="F42:G46" si="12">C42/$J$5</f>
        <v>8418.6423922893155</v>
      </c>
      <c r="G42" s="8">
        <f t="shared" si="12"/>
        <v>6151.4968284043161</v>
      </c>
      <c r="H42" s="8"/>
      <c r="M42" s="21"/>
    </row>
    <row r="43" spans="1:13" x14ac:dyDescent="0.25">
      <c r="A43" s="3" t="s">
        <v>4</v>
      </c>
      <c r="B43" s="7">
        <v>50666.67</v>
      </c>
      <c r="C43" s="50">
        <v>19928.57</v>
      </c>
      <c r="D43" s="121">
        <v>61000</v>
      </c>
      <c r="E43" s="8">
        <f t="shared" ref="E43:E46" si="13">B43/$J$5</f>
        <v>417.38751132712741</v>
      </c>
      <c r="F43" s="8">
        <f t="shared" si="12"/>
        <v>164.16978334294421</v>
      </c>
      <c r="G43" s="8">
        <f t="shared" si="12"/>
        <v>502.51256281407035</v>
      </c>
      <c r="H43" s="8"/>
      <c r="M43" s="21"/>
    </row>
    <row r="44" spans="1:13" x14ac:dyDescent="0.25">
      <c r="A44" s="3" t="s">
        <v>9</v>
      </c>
      <c r="B44" s="6">
        <v>47786.67</v>
      </c>
      <c r="C44" s="50">
        <v>34455.78</v>
      </c>
      <c r="D44" s="121">
        <v>22111.11</v>
      </c>
      <c r="E44" s="8">
        <f t="shared" si="13"/>
        <v>393.66232803361066</v>
      </c>
      <c r="F44" s="8">
        <f t="shared" si="12"/>
        <v>283.84364445176703</v>
      </c>
      <c r="G44" s="8">
        <f t="shared" si="12"/>
        <v>182.14935332399705</v>
      </c>
      <c r="H44" s="8"/>
      <c r="M44" s="21"/>
    </row>
    <row r="45" spans="1:13" x14ac:dyDescent="0.25">
      <c r="A45" s="3" t="s">
        <v>5</v>
      </c>
      <c r="B45" s="6">
        <v>0</v>
      </c>
      <c r="C45" s="50">
        <v>0</v>
      </c>
      <c r="D45" s="121">
        <v>0</v>
      </c>
      <c r="E45" s="8">
        <f t="shared" si="13"/>
        <v>0</v>
      </c>
      <c r="F45" s="8">
        <f t="shared" si="12"/>
        <v>0</v>
      </c>
      <c r="G45" s="8">
        <f t="shared" si="12"/>
        <v>0</v>
      </c>
      <c r="H45" s="8"/>
    </row>
    <row r="46" spans="1:13" x14ac:dyDescent="0.25">
      <c r="A46" s="16" t="s">
        <v>6</v>
      </c>
      <c r="B46" s="33">
        <f>SUM(B42:B45)</f>
        <v>874053.34000000008</v>
      </c>
      <c r="C46" s="33">
        <f t="shared" ref="C46:D46" si="14">SUM(C42:C45)</f>
        <v>1076323.3499999999</v>
      </c>
      <c r="D46" s="122">
        <f t="shared" si="14"/>
        <v>829841.30999999994</v>
      </c>
      <c r="E46" s="8">
        <f t="shared" si="13"/>
        <v>7200.3735068786564</v>
      </c>
      <c r="F46" s="8">
        <f t="shared" si="12"/>
        <v>8866.6558200840263</v>
      </c>
      <c r="G46" s="8">
        <f t="shared" si="12"/>
        <v>6836.1587445423838</v>
      </c>
      <c r="H46" s="8"/>
    </row>
    <row r="52" spans="3:8" x14ac:dyDescent="0.25">
      <c r="C52" s="8"/>
    </row>
    <row r="53" spans="3:8" x14ac:dyDescent="0.25">
      <c r="G53" s="8"/>
      <c r="H53" s="8"/>
    </row>
    <row r="54" spans="3:8" x14ac:dyDescent="0.25">
      <c r="G54" s="8"/>
      <c r="H54" s="8"/>
    </row>
    <row r="55" spans="3:8" x14ac:dyDescent="0.25">
      <c r="G55" s="8"/>
      <c r="H55" s="8"/>
    </row>
    <row r="56" spans="3:8" x14ac:dyDescent="0.25">
      <c r="G56" s="8"/>
      <c r="H56" s="8"/>
    </row>
    <row r="57" spans="3:8" x14ac:dyDescent="0.25">
      <c r="G57" s="8"/>
      <c r="H57" s="8"/>
    </row>
    <row r="58" spans="3:8" x14ac:dyDescent="0.25">
      <c r="G58" s="8"/>
      <c r="H58" s="8"/>
    </row>
    <row r="59" spans="3:8" x14ac:dyDescent="0.25">
      <c r="G59" s="8"/>
      <c r="H59" s="8"/>
    </row>
    <row r="60" spans="3:8" x14ac:dyDescent="0.25">
      <c r="G60" s="8"/>
      <c r="H60" s="8"/>
    </row>
    <row r="61" spans="3:8" x14ac:dyDescent="0.25">
      <c r="G61" s="8"/>
      <c r="H61" s="8"/>
    </row>
    <row r="62" spans="3:8" x14ac:dyDescent="0.25">
      <c r="G62" s="8"/>
      <c r="H62" s="8"/>
    </row>
    <row r="63" spans="3:8" x14ac:dyDescent="0.25">
      <c r="G63" s="8"/>
      <c r="H63" s="8"/>
    </row>
    <row r="64" spans="3:8" x14ac:dyDescent="0.25">
      <c r="G64" s="8"/>
      <c r="H64" s="8"/>
    </row>
    <row r="65" spans="7:8" x14ac:dyDescent="0.25">
      <c r="G65" s="8"/>
      <c r="H65" s="8"/>
    </row>
    <row r="66" spans="7:8" x14ac:dyDescent="0.25">
      <c r="G66" s="8"/>
      <c r="H66" s="8"/>
    </row>
    <row r="67" spans="7:8" x14ac:dyDescent="0.25">
      <c r="G67" s="8"/>
      <c r="H67" s="8"/>
    </row>
    <row r="68" spans="7:8" x14ac:dyDescent="0.25">
      <c r="G68" s="8"/>
      <c r="H68" s="8"/>
    </row>
    <row r="69" spans="7:8" x14ac:dyDescent="0.25">
      <c r="G69" s="8"/>
      <c r="H69" s="8"/>
    </row>
    <row r="70" spans="7:8" x14ac:dyDescent="0.25">
      <c r="G70" s="8"/>
      <c r="H70" s="8"/>
    </row>
  </sheetData>
  <mergeCells count="10">
    <mergeCell ref="B41:D41"/>
    <mergeCell ref="E41:G41"/>
    <mergeCell ref="B4:D4"/>
    <mergeCell ref="E4:G4"/>
    <mergeCell ref="B14:D14"/>
    <mergeCell ref="E14:G14"/>
    <mergeCell ref="B34:D34"/>
    <mergeCell ref="E34:G34"/>
    <mergeCell ref="B24:F24"/>
    <mergeCell ref="G24:K24"/>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2A9D8-08CD-4B14-A0A4-8BA2F985A3B0}">
  <sheetPr codeName="Sheet4"/>
  <dimension ref="A1:U93"/>
  <sheetViews>
    <sheetView topLeftCell="A55" zoomScale="70" zoomScaleNormal="70" workbookViewId="0">
      <selection activeCell="D99" sqref="D99"/>
    </sheetView>
  </sheetViews>
  <sheetFormatPr defaultRowHeight="13.8" x14ac:dyDescent="0.25"/>
  <cols>
    <col min="1" max="1" width="52.6640625" style="3" customWidth="1"/>
    <col min="2" max="2" width="26.6640625" style="3" bestFit="1" customWidth="1"/>
    <col min="3" max="4" width="18.5546875" style="3" bestFit="1" customWidth="1"/>
    <col min="5" max="5" width="12.21875" style="3" customWidth="1"/>
    <col min="6" max="6" width="15.21875" style="3" customWidth="1"/>
    <col min="7" max="7" width="14.5546875" style="3" customWidth="1"/>
    <col min="8" max="8" width="25.5546875" style="3" customWidth="1"/>
    <col min="9" max="9" width="17.21875" style="3" customWidth="1"/>
    <col min="10" max="10" width="22.77734375" style="3" customWidth="1"/>
    <col min="11" max="11" width="53" style="3" bestFit="1" customWidth="1"/>
    <col min="12" max="12" width="19.33203125" style="3" bestFit="1" customWidth="1"/>
    <col min="13" max="14" width="19.21875" style="3" customWidth="1"/>
    <col min="15" max="15" width="19" style="3" bestFit="1" customWidth="1"/>
    <col min="16" max="16" width="20.44140625" style="3" bestFit="1" customWidth="1"/>
    <col min="17" max="17" width="20.33203125" style="3" customWidth="1"/>
    <col min="18" max="18" width="15" style="3" bestFit="1" customWidth="1"/>
    <col min="19" max="19" width="21.77734375" style="3" bestFit="1" customWidth="1"/>
    <col min="20" max="20" width="54.44140625" style="3" bestFit="1" customWidth="1"/>
    <col min="21" max="21" width="14.109375" style="3" customWidth="1"/>
    <col min="22" max="22" width="53.109375" style="3" bestFit="1" customWidth="1"/>
    <col min="23" max="24" width="16.21875" style="3" bestFit="1" customWidth="1"/>
    <col min="25" max="25" width="17.77734375" style="3" bestFit="1" customWidth="1"/>
    <col min="26" max="26" width="40" style="3" bestFit="1" customWidth="1"/>
    <col min="27" max="27" width="51.109375" style="3" bestFit="1" customWidth="1"/>
    <col min="28" max="28" width="12" style="3" bestFit="1" customWidth="1"/>
    <col min="29" max="29" width="11.109375" style="3" bestFit="1" customWidth="1"/>
    <col min="30" max="30" width="26.44140625" style="3" customWidth="1"/>
    <col min="31" max="31" width="29" style="3" bestFit="1" customWidth="1"/>
    <col min="32" max="33" width="8.88671875" style="3"/>
    <col min="34" max="34" width="29.44140625" style="3" bestFit="1" customWidth="1"/>
    <col min="35" max="35" width="75.88671875" style="3" bestFit="1" customWidth="1"/>
    <col min="36" max="36" width="8.88671875" style="3"/>
    <col min="37" max="37" width="10.44140625" style="3" customWidth="1"/>
    <col min="38" max="38" width="22.88671875" style="3" bestFit="1" customWidth="1"/>
    <col min="39" max="39" width="23.33203125" style="3" bestFit="1" customWidth="1"/>
    <col min="40" max="40" width="25.109375" style="3" bestFit="1" customWidth="1"/>
    <col min="41" max="41" width="8.88671875" style="3"/>
    <col min="42" max="42" width="70.6640625" style="3" bestFit="1" customWidth="1"/>
    <col min="43" max="43" width="14.88671875" style="3" bestFit="1" customWidth="1"/>
    <col min="44" max="16384" width="8.88671875" style="3"/>
  </cols>
  <sheetData>
    <row r="1" spans="1:11" ht="18" thickBot="1" x14ac:dyDescent="0.3">
      <c r="A1" s="88" t="s">
        <v>85</v>
      </c>
      <c r="B1" s="88"/>
      <c r="C1" s="88"/>
      <c r="D1" s="88"/>
      <c r="E1" s="88"/>
      <c r="F1" s="88"/>
      <c r="G1" s="88"/>
      <c r="H1" s="88"/>
      <c r="I1" s="88"/>
      <c r="J1" s="88"/>
    </row>
    <row r="2" spans="1:11" ht="14.4" thickTop="1" x14ac:dyDescent="0.25">
      <c r="A2" s="9" t="s">
        <v>13</v>
      </c>
      <c r="B2" s="3">
        <v>73.099999999999994</v>
      </c>
      <c r="H2" s="16" t="s">
        <v>152</v>
      </c>
    </row>
    <row r="3" spans="1:11" x14ac:dyDescent="0.25">
      <c r="H3" s="3" t="s">
        <v>225</v>
      </c>
    </row>
    <row r="4" spans="1:11" ht="18" thickBot="1" x14ac:dyDescent="0.3">
      <c r="A4" s="127" t="s">
        <v>231</v>
      </c>
      <c r="B4" s="127"/>
      <c r="C4" s="127"/>
      <c r="D4" s="127"/>
      <c r="E4" s="127"/>
      <c r="F4" s="127"/>
      <c r="G4" s="127"/>
      <c r="H4" s="128" t="s">
        <v>203</v>
      </c>
      <c r="I4" s="128">
        <v>121.39</v>
      </c>
      <c r="J4" s="127"/>
    </row>
    <row r="5" spans="1:11" x14ac:dyDescent="0.25">
      <c r="A5" s="46" t="s">
        <v>83</v>
      </c>
      <c r="C5" s="14"/>
      <c r="H5" s="16" t="s">
        <v>152</v>
      </c>
    </row>
    <row r="6" spans="1:11" x14ac:dyDescent="0.25">
      <c r="A6" s="35" t="s">
        <v>79</v>
      </c>
      <c r="B6" s="5" t="s">
        <v>14</v>
      </c>
      <c r="C6" s="5" t="s">
        <v>16</v>
      </c>
      <c r="D6" s="5" t="s">
        <v>15</v>
      </c>
      <c r="E6" s="5"/>
      <c r="F6" s="5"/>
      <c r="H6" s="3" t="s">
        <v>153</v>
      </c>
    </row>
    <row r="7" spans="1:11" x14ac:dyDescent="0.25">
      <c r="A7" s="14" t="s">
        <v>17</v>
      </c>
      <c r="B7" s="42" t="s">
        <v>77</v>
      </c>
      <c r="C7" s="42" t="s">
        <v>77</v>
      </c>
      <c r="D7" s="42" t="s">
        <v>77</v>
      </c>
      <c r="E7" s="42"/>
      <c r="F7" s="42"/>
      <c r="H7" s="3" t="s">
        <v>159</v>
      </c>
    </row>
    <row r="8" spans="1:11" x14ac:dyDescent="0.25">
      <c r="A8" s="14" t="s">
        <v>18</v>
      </c>
      <c r="B8" s="38">
        <v>53.36</v>
      </c>
      <c r="C8" s="36">
        <v>43.9</v>
      </c>
      <c r="D8" s="36">
        <v>47.05</v>
      </c>
      <c r="E8" s="36"/>
      <c r="F8" s="36"/>
      <c r="H8" s="3" t="s">
        <v>162</v>
      </c>
    </row>
    <row r="9" spans="1:11" x14ac:dyDescent="0.25">
      <c r="A9" s="14" t="s">
        <v>19</v>
      </c>
      <c r="B9" s="38">
        <f>$B$2-B8</f>
        <v>19.739999999999995</v>
      </c>
      <c r="C9" s="38">
        <f t="shared" ref="C9:D9" si="0">$B$2-C8</f>
        <v>29.199999999999996</v>
      </c>
      <c r="D9" s="38">
        <f t="shared" si="0"/>
        <v>26.049999999999997</v>
      </c>
      <c r="E9" s="38"/>
      <c r="F9" s="38"/>
    </row>
    <row r="10" spans="1:11" x14ac:dyDescent="0.25">
      <c r="A10" s="14" t="s">
        <v>80</v>
      </c>
      <c r="B10" s="38">
        <v>3</v>
      </c>
      <c r="C10" s="38">
        <v>12.91</v>
      </c>
      <c r="D10" s="38">
        <v>5</v>
      </c>
      <c r="E10" s="47"/>
      <c r="F10" s="47"/>
      <c r="G10" s="15"/>
      <c r="H10" s="14" t="s">
        <v>154</v>
      </c>
      <c r="I10" s="14"/>
      <c r="J10" s="14"/>
      <c r="K10" s="14" t="s">
        <v>230</v>
      </c>
    </row>
    <row r="11" spans="1:11" x14ac:dyDescent="0.25">
      <c r="A11" s="14" t="s">
        <v>78</v>
      </c>
      <c r="B11" s="14">
        <v>0.87</v>
      </c>
      <c r="C11" s="76">
        <v>0.79400000000000004</v>
      </c>
      <c r="D11" s="3">
        <v>0.83399999999999996</v>
      </c>
      <c r="H11" s="3" t="s">
        <v>150</v>
      </c>
    </row>
    <row r="12" spans="1:11" x14ac:dyDescent="0.25">
      <c r="A12" s="14" t="s">
        <v>97</v>
      </c>
      <c r="B12" s="77">
        <f>B10*B11</f>
        <v>2.61</v>
      </c>
      <c r="C12" s="77">
        <f>C10*C11</f>
        <v>10.250540000000001</v>
      </c>
      <c r="D12" s="77">
        <f>D10*D11</f>
        <v>4.17</v>
      </c>
      <c r="E12" s="77"/>
      <c r="F12" s="77"/>
      <c r="H12" s="3" t="s">
        <v>151</v>
      </c>
    </row>
    <row r="13" spans="1:11" x14ac:dyDescent="0.25">
      <c r="A13" s="14" t="s">
        <v>98</v>
      </c>
      <c r="B13" s="38">
        <f>B9-B10</f>
        <v>16.739999999999995</v>
      </c>
      <c r="C13" s="14">
        <f>C9-C10</f>
        <v>16.289999999999996</v>
      </c>
      <c r="D13" s="3">
        <f>D9-D10</f>
        <v>21.049999999999997</v>
      </c>
      <c r="H13" s="3" t="s">
        <v>155</v>
      </c>
    </row>
    <row r="14" spans="1:11" x14ac:dyDescent="0.25">
      <c r="A14" s="14" t="s">
        <v>21</v>
      </c>
      <c r="B14" s="39">
        <f>SUM(B12:B13)</f>
        <v>19.349999999999994</v>
      </c>
      <c r="C14" s="39">
        <f>SUM(C12:C13)</f>
        <v>26.540539999999996</v>
      </c>
      <c r="D14" s="39">
        <f>SUM(D12:D13)</f>
        <v>25.22</v>
      </c>
      <c r="E14" s="39"/>
      <c r="F14" s="39"/>
    </row>
    <row r="15" spans="1:11" x14ac:dyDescent="0.25">
      <c r="A15" s="14" t="s">
        <v>204</v>
      </c>
      <c r="B15" s="40">
        <v>294191</v>
      </c>
      <c r="C15" s="40">
        <f>B15</f>
        <v>294191</v>
      </c>
      <c r="D15" s="40">
        <f>B15</f>
        <v>294191</v>
      </c>
      <c r="E15" s="40"/>
      <c r="F15" s="40"/>
      <c r="H15" s="3" t="s">
        <v>157</v>
      </c>
    </row>
    <row r="16" spans="1:11" x14ac:dyDescent="0.25">
      <c r="A16" s="14" t="s">
        <v>205</v>
      </c>
      <c r="B16" s="40">
        <f>B15/$I$4</f>
        <v>2423.5192355218715</v>
      </c>
      <c r="C16" s="40">
        <f t="shared" ref="C16:D16" si="1">C15/$I$4</f>
        <v>2423.5192355218715</v>
      </c>
      <c r="D16" s="40">
        <f t="shared" si="1"/>
        <v>2423.5192355218715</v>
      </c>
      <c r="E16" s="40"/>
      <c r="F16" s="40"/>
    </row>
    <row r="17" spans="1:21" x14ac:dyDescent="0.25">
      <c r="A17" s="14" t="s">
        <v>206</v>
      </c>
      <c r="B17" s="41">
        <f>'5. Discounted Future Income'!Q28</f>
        <v>2688560.3010822693</v>
      </c>
      <c r="C17" s="41">
        <f>'5. Discounted Future Income'!E35</f>
        <v>2950889.3731540302</v>
      </c>
      <c r="D17" s="41">
        <f>'5. Discounted Future Income'!K34</f>
        <v>2923190.4815065316</v>
      </c>
      <c r="E17" s="41"/>
      <c r="F17" s="41"/>
      <c r="H17" s="3" t="s">
        <v>163</v>
      </c>
    </row>
    <row r="18" spans="1:21" x14ac:dyDescent="0.25">
      <c r="A18" s="14" t="s">
        <v>207</v>
      </c>
      <c r="B18" s="40">
        <f>B17/$I$4</f>
        <v>22148.120117656061</v>
      </c>
      <c r="C18" s="40">
        <f t="shared" ref="C18:D18" si="2">C17/$I$4</f>
        <v>24309.163630892413</v>
      </c>
      <c r="D18" s="40">
        <f t="shared" si="2"/>
        <v>24080.982630418745</v>
      </c>
      <c r="E18" s="41"/>
      <c r="F18" s="41"/>
    </row>
    <row r="19" spans="1:21" x14ac:dyDescent="0.25">
      <c r="A19" s="80" t="s">
        <v>84</v>
      </c>
      <c r="B19" s="14"/>
      <c r="C19" s="14"/>
      <c r="H19" s="3" t="s">
        <v>156</v>
      </c>
    </row>
    <row r="20" spans="1:21" x14ac:dyDescent="0.25">
      <c r="A20" s="35" t="s">
        <v>79</v>
      </c>
      <c r="B20" s="5"/>
      <c r="C20" s="5"/>
      <c r="D20" s="5"/>
      <c r="E20" s="5"/>
      <c r="F20" s="5"/>
    </row>
    <row r="21" spans="1:21" x14ac:dyDescent="0.25">
      <c r="A21" s="14" t="s">
        <v>17</v>
      </c>
      <c r="B21" s="42" t="s">
        <v>99</v>
      </c>
      <c r="C21" s="42" t="s">
        <v>99</v>
      </c>
      <c r="D21" s="42" t="s">
        <v>99</v>
      </c>
      <c r="E21" s="42"/>
      <c r="F21" s="42"/>
    </row>
    <row r="22" spans="1:21" x14ac:dyDescent="0.25">
      <c r="A22" s="14" t="s">
        <v>18</v>
      </c>
      <c r="B22" s="78">
        <v>49.59</v>
      </c>
      <c r="C22" s="79">
        <v>43.44</v>
      </c>
      <c r="D22" s="79">
        <v>44.65</v>
      </c>
      <c r="E22" s="79"/>
      <c r="F22" s="79"/>
      <c r="H22" s="3" t="s">
        <v>158</v>
      </c>
    </row>
    <row r="23" spans="1:21" x14ac:dyDescent="0.25">
      <c r="A23" s="14" t="s">
        <v>19</v>
      </c>
      <c r="B23" s="78">
        <f>$B$2-B22</f>
        <v>23.509999999999991</v>
      </c>
      <c r="C23" s="78">
        <f t="shared" ref="C23:D23" si="3">$B$2-C22</f>
        <v>29.659999999999997</v>
      </c>
      <c r="D23" s="78">
        <f t="shared" si="3"/>
        <v>28.449999999999996</v>
      </c>
      <c r="E23" s="78"/>
      <c r="F23" s="78"/>
    </row>
    <row r="24" spans="1:21" x14ac:dyDescent="0.25">
      <c r="A24" s="3" t="s">
        <v>78</v>
      </c>
      <c r="B24" s="3">
        <v>0.28799999999999998</v>
      </c>
      <c r="C24" s="3">
        <v>0.51800000000000002</v>
      </c>
      <c r="D24" s="3">
        <v>0.49199999999999999</v>
      </c>
      <c r="H24" s="3" t="s">
        <v>188</v>
      </c>
    </row>
    <row r="25" spans="1:21" x14ac:dyDescent="0.25">
      <c r="A25" s="14" t="s">
        <v>97</v>
      </c>
      <c r="B25" s="44">
        <f>B23*B24</f>
        <v>6.7708799999999965</v>
      </c>
      <c r="C25" s="44">
        <f t="shared" ref="C25" si="4">C23*C24</f>
        <v>15.363879999999998</v>
      </c>
      <c r="D25" s="44">
        <f>D23*D24</f>
        <v>13.997399999999997</v>
      </c>
      <c r="E25" s="44"/>
      <c r="F25" s="44"/>
      <c r="H25" s="3" t="s">
        <v>160</v>
      </c>
    </row>
    <row r="26" spans="1:21" x14ac:dyDescent="0.25">
      <c r="A26" s="3" t="s">
        <v>81</v>
      </c>
      <c r="B26" s="3">
        <v>0</v>
      </c>
      <c r="C26" s="3">
        <v>0</v>
      </c>
      <c r="D26" s="3">
        <v>0</v>
      </c>
      <c r="H26" s="3" t="s">
        <v>161</v>
      </c>
    </row>
    <row r="27" spans="1:21" x14ac:dyDescent="0.25">
      <c r="A27" s="3" t="s">
        <v>82</v>
      </c>
      <c r="B27" s="44">
        <f>SUM(B25:B26)</f>
        <v>6.7708799999999965</v>
      </c>
      <c r="C27" s="44">
        <f t="shared" ref="C27:D27" si="5">SUM(C25:C26)</f>
        <v>15.363879999999998</v>
      </c>
      <c r="D27" s="44">
        <f t="shared" si="5"/>
        <v>13.997399999999997</v>
      </c>
      <c r="E27" s="44"/>
      <c r="F27" s="44"/>
      <c r="H27" s="3" t="s">
        <v>164</v>
      </c>
    </row>
    <row r="28" spans="1:21" x14ac:dyDescent="0.25">
      <c r="A28" s="3" t="s">
        <v>208</v>
      </c>
      <c r="B28" s="7">
        <f>'5. Discounted Future Income'!N15</f>
        <v>1483858.6247582913</v>
      </c>
      <c r="C28" s="8">
        <f>'5. Discounted Future Income'!B24</f>
        <v>2449655.2025037492</v>
      </c>
      <c r="D28" s="8">
        <f>'5. Discounted Future Income'!H22</f>
        <v>2290635.0966025977</v>
      </c>
      <c r="E28" s="8"/>
      <c r="F28" s="8"/>
      <c r="H28" s="15" t="s">
        <v>221</v>
      </c>
    </row>
    <row r="29" spans="1:21" x14ac:dyDescent="0.25">
      <c r="A29" s="3" t="s">
        <v>209</v>
      </c>
      <c r="B29" s="7">
        <f>B28/$I$4</f>
        <v>12223.895088213949</v>
      </c>
      <c r="C29" s="7">
        <f t="shared" ref="C29:D29" si="6">C28/$I$4</f>
        <v>20180.041210179992</v>
      </c>
      <c r="D29" s="7">
        <f t="shared" si="6"/>
        <v>18870.047751895523</v>
      </c>
      <c r="E29" s="8"/>
      <c r="F29" s="8"/>
    </row>
    <row r="30" spans="1:21" x14ac:dyDescent="0.25">
      <c r="A30" s="16" t="s">
        <v>210</v>
      </c>
      <c r="B30" s="34">
        <f>'5. Discounted Future Income'!Q36</f>
        <v>1204701.676323978</v>
      </c>
      <c r="C30" s="43">
        <f>'5. Discounted Future Income'!E36</f>
        <v>501234.17065028101</v>
      </c>
      <c r="D30" s="43">
        <f>'5. Discounted Future Income'!K36</f>
        <v>632555.38490393385</v>
      </c>
      <c r="E30" s="43"/>
      <c r="F30" s="43"/>
      <c r="G30" s="16"/>
    </row>
    <row r="31" spans="1:21" x14ac:dyDescent="0.25">
      <c r="A31" s="16" t="s">
        <v>211</v>
      </c>
      <c r="B31" s="34">
        <f>B30/$I$4</f>
        <v>9924.2250294421119</v>
      </c>
      <c r="C31" s="34">
        <f t="shared" ref="C31:D31" si="7">C30/$I$4</f>
        <v>4129.1224207124233</v>
      </c>
      <c r="D31" s="34">
        <f t="shared" si="7"/>
        <v>5210.9348785232214</v>
      </c>
      <c r="E31" s="43"/>
      <c r="F31" s="43"/>
      <c r="G31" s="16"/>
    </row>
    <row r="32" spans="1:21" x14ac:dyDescent="0.25">
      <c r="T32" s="16"/>
      <c r="U32" s="16"/>
    </row>
    <row r="33" spans="1:21" ht="18" thickBot="1" x14ac:dyDescent="0.3">
      <c r="A33" s="88" t="s">
        <v>86</v>
      </c>
      <c r="B33" s="88"/>
      <c r="C33" s="88"/>
      <c r="D33" s="88"/>
      <c r="E33" s="88"/>
      <c r="F33" s="88"/>
      <c r="G33" s="88"/>
      <c r="H33" s="88"/>
      <c r="I33" s="88"/>
      <c r="J33" s="88"/>
      <c r="T33" s="16"/>
      <c r="U33" s="16"/>
    </row>
    <row r="34" spans="1:21" ht="14.4" thickTop="1" x14ac:dyDescent="0.25">
      <c r="A34" s="17" t="s">
        <v>10</v>
      </c>
      <c r="B34" s="74" t="s">
        <v>96</v>
      </c>
      <c r="C34" s="74"/>
      <c r="E34" s="35"/>
      <c r="F34" s="35"/>
      <c r="G34" s="5"/>
      <c r="H34" s="83" t="s">
        <v>92</v>
      </c>
      <c r="J34" s="16" t="s">
        <v>171</v>
      </c>
      <c r="T34" s="37"/>
      <c r="U34" s="33"/>
    </row>
    <row r="35" spans="1:21" x14ac:dyDescent="0.25">
      <c r="A35" s="17"/>
      <c r="B35" s="139" t="s">
        <v>200</v>
      </c>
      <c r="C35" s="138" t="s">
        <v>201</v>
      </c>
      <c r="E35" s="35"/>
      <c r="F35" s="35"/>
      <c r="G35" s="5"/>
      <c r="H35" s="35"/>
      <c r="J35" s="16"/>
      <c r="T35" s="37"/>
      <c r="U35" s="33"/>
    </row>
    <row r="36" spans="1:21" x14ac:dyDescent="0.25">
      <c r="A36" s="29" t="s">
        <v>11</v>
      </c>
      <c r="B36" s="140"/>
      <c r="C36" s="14"/>
      <c r="E36" s="14"/>
      <c r="F36" s="14"/>
      <c r="G36" s="18"/>
      <c r="H36" s="14" t="s">
        <v>64</v>
      </c>
      <c r="T36" s="37"/>
    </row>
    <row r="37" spans="1:21" x14ac:dyDescent="0.25">
      <c r="A37" s="19" t="s">
        <v>12</v>
      </c>
      <c r="B37" s="141">
        <v>150817.79999999999</v>
      </c>
      <c r="C37" s="142">
        <f>B37/$I$4</f>
        <v>1242.4235933767195</v>
      </c>
      <c r="E37" s="14"/>
      <c r="F37" s="14"/>
      <c r="G37" s="18"/>
      <c r="H37" s="14" t="s">
        <v>109</v>
      </c>
      <c r="J37" s="3" t="s">
        <v>168</v>
      </c>
    </row>
    <row r="38" spans="1:21" x14ac:dyDescent="0.25">
      <c r="A38" s="21" t="s">
        <v>74</v>
      </c>
      <c r="B38" s="141">
        <v>16509.97</v>
      </c>
      <c r="C38" s="142">
        <f t="shared" ref="C38:C39" si="8">B38/$I$4</f>
        <v>136.00766125710521</v>
      </c>
      <c r="E38" s="14"/>
      <c r="F38" s="14"/>
      <c r="G38" s="20"/>
      <c r="H38" s="14" t="s">
        <v>166</v>
      </c>
      <c r="J38" s="3" t="s">
        <v>167</v>
      </c>
    </row>
    <row r="39" spans="1:21" x14ac:dyDescent="0.25">
      <c r="A39" s="29" t="s">
        <v>20</v>
      </c>
      <c r="B39" s="133">
        <f>SUM(B37:B38)</f>
        <v>167327.76999999999</v>
      </c>
      <c r="C39" s="143">
        <f t="shared" si="8"/>
        <v>1378.4312546338247</v>
      </c>
      <c r="J39" s="3" t="s">
        <v>169</v>
      </c>
      <c r="T39" s="205"/>
      <c r="U39" s="33"/>
    </row>
    <row r="40" spans="1:21" ht="18" thickBot="1" x14ac:dyDescent="0.3">
      <c r="A40" s="88" t="s">
        <v>101</v>
      </c>
      <c r="B40" s="22"/>
      <c r="C40" s="22"/>
      <c r="D40" s="22"/>
      <c r="E40" s="22"/>
      <c r="F40" s="22"/>
      <c r="G40" s="22"/>
      <c r="H40" s="22"/>
      <c r="I40" s="22"/>
      <c r="J40" s="22" t="s">
        <v>170</v>
      </c>
      <c r="T40" s="205"/>
    </row>
    <row r="41" spans="1:21" ht="14.4" thickTop="1" x14ac:dyDescent="0.25">
      <c r="A41" s="21"/>
      <c r="B41" s="5" t="s">
        <v>14</v>
      </c>
      <c r="C41" s="5" t="s">
        <v>16</v>
      </c>
      <c r="D41" s="5" t="s">
        <v>15</v>
      </c>
      <c r="E41" s="5" t="s">
        <v>3</v>
      </c>
      <c r="F41" s="5"/>
      <c r="J41" s="35" t="s">
        <v>92</v>
      </c>
    </row>
    <row r="42" spans="1:21" x14ac:dyDescent="0.25">
      <c r="A42" s="21"/>
      <c r="B42" s="200" t="s">
        <v>200</v>
      </c>
      <c r="C42" s="200"/>
      <c r="D42" s="200"/>
      <c r="E42" s="201"/>
      <c r="F42" s="200" t="s">
        <v>201</v>
      </c>
      <c r="G42" s="200"/>
      <c r="H42" s="200"/>
      <c r="I42" s="200"/>
      <c r="J42" s="35"/>
    </row>
    <row r="43" spans="1:21" x14ac:dyDescent="0.25">
      <c r="A43" s="3" t="s">
        <v>128</v>
      </c>
      <c r="B43" s="23">
        <f>B30</f>
        <v>1204701.676323978</v>
      </c>
      <c r="C43" s="13">
        <f>C30</f>
        <v>501234.17065028101</v>
      </c>
      <c r="D43" s="13">
        <f>D30</f>
        <v>632555.38490393385</v>
      </c>
      <c r="E43" s="133">
        <f>(B43*B44)+(C43*C44)+(D43*D44)</f>
        <v>675373.82604457438</v>
      </c>
      <c r="F43" s="13">
        <f>B43/$I$4</f>
        <v>9924.2250294421119</v>
      </c>
      <c r="G43" s="13">
        <f t="shared" ref="G43:I43" si="9">C43/$I$4</f>
        <v>4129.1224207124233</v>
      </c>
      <c r="H43" s="13">
        <f t="shared" si="9"/>
        <v>5210.9348785232214</v>
      </c>
      <c r="I43" s="13">
        <f t="shared" si="9"/>
        <v>5563.6693800525118</v>
      </c>
      <c r="J43" s="21" t="s">
        <v>103</v>
      </c>
    </row>
    <row r="44" spans="1:21" x14ac:dyDescent="0.25">
      <c r="A44" s="3" t="s">
        <v>102</v>
      </c>
      <c r="B44" s="136">
        <v>0.18658892999999999</v>
      </c>
      <c r="C44" s="137">
        <v>0.48688048</v>
      </c>
      <c r="D44" s="137">
        <v>0.32653061</v>
      </c>
      <c r="E44" s="197"/>
      <c r="F44" s="81"/>
    </row>
    <row r="45" spans="1:21" x14ac:dyDescent="0.25">
      <c r="A45" s="16"/>
      <c r="B45" s="23"/>
      <c r="C45" s="13"/>
      <c r="D45" s="13"/>
      <c r="E45" s="13"/>
      <c r="F45" s="13"/>
      <c r="G45" s="24"/>
    </row>
    <row r="46" spans="1:21" ht="18" thickBot="1" x14ac:dyDescent="0.3">
      <c r="A46" s="88" t="s">
        <v>106</v>
      </c>
      <c r="B46" s="25"/>
      <c r="C46" s="26"/>
      <c r="D46" s="26"/>
      <c r="E46" s="26"/>
      <c r="F46" s="26"/>
      <c r="G46" s="22"/>
      <c r="H46" s="27"/>
      <c r="I46" s="24"/>
      <c r="T46" s="16"/>
      <c r="U46" s="16"/>
    </row>
    <row r="47" spans="1:21" ht="18" thickTop="1" x14ac:dyDescent="0.25">
      <c r="A47" s="89"/>
      <c r="B47" s="23" t="s">
        <v>200</v>
      </c>
      <c r="C47" s="13" t="s">
        <v>201</v>
      </c>
      <c r="D47" s="13"/>
      <c r="E47" s="13"/>
      <c r="F47" s="13"/>
      <c r="H47" s="16" t="s">
        <v>92</v>
      </c>
      <c r="I47" s="24"/>
      <c r="T47" s="16"/>
      <c r="U47" s="16"/>
    </row>
    <row r="48" spans="1:21" x14ac:dyDescent="0.25">
      <c r="A48" s="17" t="s">
        <v>33</v>
      </c>
      <c r="B48" s="33">
        <f>SUM(B39,E43)</f>
        <v>842701.5960445744</v>
      </c>
      <c r="C48" s="135">
        <f>B48/I4</f>
        <v>6942.1006346863369</v>
      </c>
      <c r="H48" s="3" t="s">
        <v>172</v>
      </c>
      <c r="T48" s="16"/>
    </row>
    <row r="49" spans="1:21" x14ac:dyDescent="0.25">
      <c r="T49" s="75"/>
      <c r="U49" s="33"/>
    </row>
    <row r="50" spans="1:21" ht="18" thickBot="1" x14ac:dyDescent="0.3">
      <c r="A50" s="88" t="s">
        <v>108</v>
      </c>
      <c r="B50" s="22"/>
      <c r="C50" s="22"/>
      <c r="D50" s="22"/>
      <c r="E50" s="22"/>
      <c r="F50" s="22"/>
      <c r="G50" s="22"/>
      <c r="H50" s="22"/>
    </row>
    <row r="51" spans="1:21" ht="14.4" thickTop="1" x14ac:dyDescent="0.25">
      <c r="B51" s="130" t="s">
        <v>14</v>
      </c>
      <c r="C51" s="130" t="s">
        <v>16</v>
      </c>
      <c r="D51" s="131" t="s">
        <v>15</v>
      </c>
      <c r="E51" s="32"/>
      <c r="F51" s="32"/>
      <c r="H51" s="16" t="s">
        <v>76</v>
      </c>
    </row>
    <row r="52" spans="1:21" ht="13.2" customHeight="1" x14ac:dyDescent="0.25">
      <c r="A52" s="35"/>
      <c r="B52" s="9" t="s">
        <v>49</v>
      </c>
      <c r="C52" s="9" t="s">
        <v>37</v>
      </c>
      <c r="D52" s="120" t="s">
        <v>48</v>
      </c>
      <c r="E52" s="9"/>
      <c r="F52" s="9"/>
      <c r="G52" s="28"/>
    </row>
    <row r="53" spans="1:21" ht="13.2" customHeight="1" x14ac:dyDescent="0.25">
      <c r="A53" s="35"/>
      <c r="B53" s="200" t="s">
        <v>200</v>
      </c>
      <c r="C53" s="200"/>
      <c r="D53" s="201"/>
      <c r="E53" s="200" t="s">
        <v>201</v>
      </c>
      <c r="F53" s="200"/>
      <c r="G53" s="200"/>
    </row>
    <row r="54" spans="1:21" x14ac:dyDescent="0.25">
      <c r="A54" s="21" t="s">
        <v>73</v>
      </c>
      <c r="B54" s="30">
        <v>180838.3</v>
      </c>
      <c r="C54" s="30">
        <v>140231.79999999999</v>
      </c>
      <c r="D54" s="132">
        <v>149447.6</v>
      </c>
      <c r="E54" s="10">
        <f>B54/$I$4</f>
        <v>1489.7297965236014</v>
      </c>
      <c r="F54" s="10">
        <f t="shared" ref="F54:G58" si="10">C54/$I$4</f>
        <v>1155.2170689513139</v>
      </c>
      <c r="G54" s="10">
        <f t="shared" si="10"/>
        <v>1231.1360079083945</v>
      </c>
    </row>
    <row r="55" spans="1:21" x14ac:dyDescent="0.25">
      <c r="A55" s="21" t="s">
        <v>104</v>
      </c>
      <c r="B55" s="31">
        <v>18147.560000000001</v>
      </c>
      <c r="C55" s="31">
        <v>14661.42</v>
      </c>
      <c r="D55" s="121">
        <v>18330.53</v>
      </c>
      <c r="E55" s="10">
        <f t="shared" ref="E55:E58" si="11">B55/$I$4</f>
        <v>149.49798171183789</v>
      </c>
      <c r="F55" s="10">
        <f t="shared" si="10"/>
        <v>120.77947112612242</v>
      </c>
      <c r="G55" s="10">
        <f t="shared" si="10"/>
        <v>151.00527226295409</v>
      </c>
      <c r="H55" s="15"/>
    </row>
    <row r="56" spans="1:21" x14ac:dyDescent="0.25">
      <c r="A56" s="82" t="s">
        <v>107</v>
      </c>
      <c r="B56" s="10">
        <f>SUM(B54,B55)</f>
        <v>198985.86</v>
      </c>
      <c r="C56" s="10">
        <f>SUM(C54,C55)</f>
        <v>154893.22</v>
      </c>
      <c r="D56" s="132">
        <f>SUM(D54,D55)</f>
        <v>167778.13</v>
      </c>
      <c r="E56" s="10">
        <f t="shared" si="11"/>
        <v>1639.2277782354395</v>
      </c>
      <c r="F56" s="10">
        <f t="shared" si="10"/>
        <v>1275.9965400774363</v>
      </c>
      <c r="G56" s="10">
        <f t="shared" si="10"/>
        <v>1382.1412801713486</v>
      </c>
    </row>
    <row r="57" spans="1:21" x14ac:dyDescent="0.25">
      <c r="A57" s="3" t="s">
        <v>128</v>
      </c>
      <c r="B57" s="10">
        <f>B43</f>
        <v>1204701.676323978</v>
      </c>
      <c r="C57" s="10">
        <f>C43</f>
        <v>501234.17065028101</v>
      </c>
      <c r="D57" s="132">
        <f>D43</f>
        <v>632555.38490393385</v>
      </c>
      <c r="E57" s="10">
        <f t="shared" si="11"/>
        <v>9924.2250294421119</v>
      </c>
      <c r="F57" s="10">
        <f t="shared" si="10"/>
        <v>4129.1224207124233</v>
      </c>
      <c r="G57" s="10">
        <f t="shared" si="10"/>
        <v>5210.9348785232214</v>
      </c>
    </row>
    <row r="58" spans="1:21" x14ac:dyDescent="0.25">
      <c r="A58" s="5" t="s">
        <v>75</v>
      </c>
      <c r="B58" s="24">
        <f>SUM(B56,B57)</f>
        <v>1403687.5363239781</v>
      </c>
      <c r="C58" s="24">
        <f>SUM(C56,C57)</f>
        <v>656127.39065028098</v>
      </c>
      <c r="D58" s="133">
        <f>SUM(D56,D57)</f>
        <v>800333.51490393386</v>
      </c>
      <c r="E58" s="129">
        <f t="shared" si="11"/>
        <v>11563.452807677553</v>
      </c>
      <c r="F58" s="129">
        <f t="shared" si="10"/>
        <v>5405.1189607898586</v>
      </c>
      <c r="G58" s="129">
        <f t="shared" si="10"/>
        <v>6593.07615869457</v>
      </c>
      <c r="H58" s="10"/>
    </row>
    <row r="59" spans="1:21" x14ac:dyDescent="0.25">
      <c r="D59" s="4"/>
      <c r="G59" s="7"/>
      <c r="H59" s="7"/>
    </row>
    <row r="60" spans="1:21" ht="18" thickBot="1" x14ac:dyDescent="0.3">
      <c r="A60" s="88" t="s">
        <v>232</v>
      </c>
      <c r="B60" s="22"/>
      <c r="C60" s="22"/>
      <c r="D60" s="125"/>
      <c r="E60" s="22"/>
      <c r="F60" s="22"/>
      <c r="G60" s="22"/>
      <c r="H60" s="22"/>
    </row>
    <row r="61" spans="1:21" ht="14.4" thickTop="1" x14ac:dyDescent="0.25">
      <c r="B61" s="5" t="s">
        <v>38</v>
      </c>
      <c r="C61" s="5" t="s">
        <v>40</v>
      </c>
      <c r="D61" s="4"/>
      <c r="H61" s="35" t="s">
        <v>76</v>
      </c>
    </row>
    <row r="62" spans="1:21" x14ac:dyDescent="0.25">
      <c r="A62" s="29"/>
      <c r="B62" s="9" t="s">
        <v>51</v>
      </c>
      <c r="C62" s="9" t="s">
        <v>52</v>
      </c>
      <c r="D62" s="121"/>
      <c r="E62" s="7"/>
      <c r="F62" s="7"/>
      <c r="H62" s="14" t="s">
        <v>110</v>
      </c>
    </row>
    <row r="63" spans="1:21" x14ac:dyDescent="0.25">
      <c r="A63" s="29"/>
      <c r="B63" s="200" t="s">
        <v>200</v>
      </c>
      <c r="C63" s="200"/>
      <c r="D63" s="201"/>
      <c r="E63" s="200" t="s">
        <v>201</v>
      </c>
      <c r="F63" s="200"/>
      <c r="G63" s="200"/>
      <c r="H63" s="14"/>
    </row>
    <row r="64" spans="1:21" x14ac:dyDescent="0.25">
      <c r="A64" s="3" t="s">
        <v>105</v>
      </c>
      <c r="B64" s="7">
        <v>165331.29999999999</v>
      </c>
      <c r="C64" s="7">
        <v>161240.6</v>
      </c>
      <c r="D64" s="132"/>
      <c r="E64" s="10">
        <f>B64/$I$4</f>
        <v>1361.9845127275721</v>
      </c>
      <c r="F64" s="10">
        <f>C64/$I$4</f>
        <v>1328.285690748826</v>
      </c>
      <c r="H64" s="14" t="s">
        <v>63</v>
      </c>
    </row>
    <row r="65" spans="1:10" x14ac:dyDescent="0.25">
      <c r="A65" s="21" t="s">
        <v>104</v>
      </c>
      <c r="B65" s="6">
        <v>15343.11</v>
      </c>
      <c r="C65" s="6">
        <v>32406.12</v>
      </c>
      <c r="D65" s="4"/>
      <c r="E65" s="10">
        <f t="shared" ref="E65:F68" si="12">B65/$I$4</f>
        <v>126.39517258423264</v>
      </c>
      <c r="F65" s="10">
        <f t="shared" si="12"/>
        <v>266.95872806656229</v>
      </c>
    </row>
    <row r="66" spans="1:10" x14ac:dyDescent="0.25">
      <c r="A66" s="3" t="s">
        <v>107</v>
      </c>
      <c r="B66" s="12">
        <f>SUM(B65,B64)</f>
        <v>180674.40999999997</v>
      </c>
      <c r="C66" s="12">
        <f>SUM(C65,C64)</f>
        <v>193646.72</v>
      </c>
      <c r="D66" s="4"/>
      <c r="E66" s="10">
        <f t="shared" si="12"/>
        <v>1488.3796853118047</v>
      </c>
      <c r="F66" s="10">
        <f t="shared" si="12"/>
        <v>1595.2444188153884</v>
      </c>
    </row>
    <row r="67" spans="1:10" x14ac:dyDescent="0.25">
      <c r="A67" s="3" t="s">
        <v>128</v>
      </c>
      <c r="B67" s="10">
        <f>E43</f>
        <v>675373.82604457438</v>
      </c>
      <c r="C67" s="10">
        <f>E43</f>
        <v>675373.82604457438</v>
      </c>
      <c r="D67" s="4"/>
      <c r="E67" s="10">
        <f t="shared" si="12"/>
        <v>5563.6693800525118</v>
      </c>
      <c r="F67" s="10">
        <f t="shared" si="12"/>
        <v>5563.6693800525118</v>
      </c>
      <c r="J67" s="7"/>
    </row>
    <row r="68" spans="1:10" x14ac:dyDescent="0.25">
      <c r="A68" s="5" t="s">
        <v>75</v>
      </c>
      <c r="B68" s="24">
        <f>SUM(B66,B67)</f>
        <v>856048.2360445743</v>
      </c>
      <c r="C68" s="24">
        <f>SUM(C66,C67)</f>
        <v>869020.54604457435</v>
      </c>
      <c r="D68" s="4"/>
      <c r="E68" s="10">
        <f t="shared" si="12"/>
        <v>7052.0490653643155</v>
      </c>
      <c r="F68" s="10">
        <f t="shared" si="12"/>
        <v>7158.9137988678995</v>
      </c>
      <c r="J68" s="10"/>
    </row>
    <row r="69" spans="1:10" x14ac:dyDescent="0.25">
      <c r="D69" s="4"/>
    </row>
    <row r="70" spans="1:10" ht="18" thickBot="1" x14ac:dyDescent="0.3">
      <c r="A70" s="88" t="s">
        <v>233</v>
      </c>
      <c r="B70" s="22"/>
      <c r="C70" s="22"/>
      <c r="D70" s="125"/>
      <c r="E70" s="22"/>
      <c r="F70" s="22"/>
      <c r="G70" s="22"/>
      <c r="H70" s="22"/>
      <c r="J70" s="5"/>
    </row>
    <row r="71" spans="1:10" ht="14.4" thickTop="1" x14ac:dyDescent="0.25">
      <c r="B71" s="32" t="s">
        <v>14</v>
      </c>
      <c r="C71" s="32" t="s">
        <v>16</v>
      </c>
      <c r="D71" s="134" t="s">
        <v>15</v>
      </c>
      <c r="E71" s="32"/>
      <c r="F71" s="32"/>
      <c r="H71" s="16" t="s">
        <v>76</v>
      </c>
    </row>
    <row r="72" spans="1:10" ht="15.6" customHeight="1" x14ac:dyDescent="0.25">
      <c r="A72" s="17" t="s">
        <v>38</v>
      </c>
      <c r="B72" s="9" t="str">
        <f>'1. Direct Cost Savings'!B33</f>
        <v>N = 34</v>
      </c>
      <c r="C72" s="9" t="str">
        <f>'1. Direct Cost Savings'!C33</f>
        <v>N = 79</v>
      </c>
      <c r="D72" s="120" t="str">
        <f>'1. Direct Cost Savings'!D33</f>
        <v>N = 60</v>
      </c>
      <c r="E72" s="9"/>
      <c r="F72" s="9"/>
      <c r="G72" s="28"/>
    </row>
    <row r="73" spans="1:10" ht="15.6" customHeight="1" x14ac:dyDescent="0.25">
      <c r="A73" s="17"/>
      <c r="B73" s="200" t="s">
        <v>200</v>
      </c>
      <c r="C73" s="200"/>
      <c r="D73" s="201"/>
      <c r="E73" s="200" t="s">
        <v>201</v>
      </c>
      <c r="F73" s="200"/>
      <c r="G73" s="200"/>
    </row>
    <row r="74" spans="1:10" x14ac:dyDescent="0.25">
      <c r="A74" s="21" t="s">
        <v>73</v>
      </c>
      <c r="B74" s="30">
        <v>194161.5</v>
      </c>
      <c r="C74" s="30">
        <v>150946.6</v>
      </c>
      <c r="D74" s="132">
        <v>167934</v>
      </c>
      <c r="E74" s="10">
        <f>B74/$I$4</f>
        <v>1599.4851305708871</v>
      </c>
      <c r="F74" s="10">
        <f t="shared" ref="F74:G78" si="13">C74/$I$4</f>
        <v>1243.4846362962353</v>
      </c>
      <c r="G74" s="10">
        <f t="shared" si="13"/>
        <v>1383.4253233380016</v>
      </c>
    </row>
    <row r="75" spans="1:10" x14ac:dyDescent="0.25">
      <c r="A75" s="21" t="s">
        <v>104</v>
      </c>
      <c r="B75" s="31">
        <v>14944.77</v>
      </c>
      <c r="C75" s="31">
        <v>16741.77</v>
      </c>
      <c r="D75" s="121">
        <v>13727.27</v>
      </c>
      <c r="E75" s="10">
        <f t="shared" ref="E75:E78" si="14">B75/$I$4</f>
        <v>123.1136831699481</v>
      </c>
      <c r="F75" s="10">
        <f t="shared" si="13"/>
        <v>137.91720899579866</v>
      </c>
      <c r="G75" s="10">
        <f t="shared" si="13"/>
        <v>113.08402669083121</v>
      </c>
      <c r="H75" s="15"/>
    </row>
    <row r="76" spans="1:10" x14ac:dyDescent="0.25">
      <c r="A76" s="82" t="s">
        <v>107</v>
      </c>
      <c r="B76" s="10">
        <f>SUM(B74,B75)</f>
        <v>209106.27</v>
      </c>
      <c r="C76" s="10">
        <f t="shared" ref="C76:D76" si="15">SUM(C74,C75)</f>
        <v>167688.37</v>
      </c>
      <c r="D76" s="132">
        <f t="shared" si="15"/>
        <v>181661.27</v>
      </c>
      <c r="E76" s="10">
        <f t="shared" si="14"/>
        <v>1722.5988137408353</v>
      </c>
      <c r="F76" s="10">
        <f t="shared" si="13"/>
        <v>1381.4018452920338</v>
      </c>
      <c r="G76" s="10">
        <f t="shared" si="13"/>
        <v>1496.5093500288326</v>
      </c>
    </row>
    <row r="77" spans="1:10" x14ac:dyDescent="0.25">
      <c r="A77" s="3" t="s">
        <v>128</v>
      </c>
      <c r="B77" s="10">
        <f>E43</f>
        <v>675373.82604457438</v>
      </c>
      <c r="C77" s="10">
        <f>B77</f>
        <v>675373.82604457438</v>
      </c>
      <c r="D77" s="132">
        <f>C77</f>
        <v>675373.82604457438</v>
      </c>
      <c r="E77" s="10">
        <f t="shared" si="14"/>
        <v>5563.6693800525118</v>
      </c>
      <c r="F77" s="10">
        <f t="shared" si="13"/>
        <v>5563.6693800525118</v>
      </c>
      <c r="G77" s="10">
        <f t="shared" si="13"/>
        <v>5563.6693800525118</v>
      </c>
      <c r="H77" s="3" t="s">
        <v>129</v>
      </c>
    </row>
    <row r="78" spans="1:10" x14ac:dyDescent="0.25">
      <c r="A78" s="5" t="s">
        <v>75</v>
      </c>
      <c r="B78" s="24">
        <f>SUM(B76,B77)</f>
        <v>884480.0960445744</v>
      </c>
      <c r="C78" s="24">
        <f>SUM(C76,C77)</f>
        <v>843062.19604457438</v>
      </c>
      <c r="D78" s="133">
        <f>SUM(D76,D77)</f>
        <v>857035.0960445744</v>
      </c>
      <c r="E78" s="10">
        <f t="shared" si="14"/>
        <v>7286.2681937933467</v>
      </c>
      <c r="F78" s="10">
        <f t="shared" si="13"/>
        <v>6945.0712253445454</v>
      </c>
      <c r="G78" s="10">
        <f t="shared" si="13"/>
        <v>7060.1787300813439</v>
      </c>
      <c r="H78" s="10"/>
    </row>
    <row r="79" spans="1:10" x14ac:dyDescent="0.25">
      <c r="A79" s="5"/>
      <c r="B79" s="24"/>
      <c r="C79" s="24"/>
      <c r="D79" s="133"/>
      <c r="E79" s="10"/>
      <c r="F79" s="10"/>
      <c r="G79" s="10"/>
      <c r="H79" s="10"/>
    </row>
    <row r="80" spans="1:10" x14ac:dyDescent="0.25">
      <c r="A80" s="17" t="s">
        <v>40</v>
      </c>
      <c r="B80" s="9" t="str">
        <f>'1. Direct Cost Savings'!B40</f>
        <v>N = 5</v>
      </c>
      <c r="C80" s="9" t="str">
        <f>'1. Direct Cost Savings'!C40</f>
        <v>N = 7</v>
      </c>
      <c r="D80" s="120" t="str">
        <f>'1. Direct Cost Savings'!D40</f>
        <v>N = 6</v>
      </c>
      <c r="E80" s="9"/>
      <c r="F80" s="9"/>
    </row>
    <row r="81" spans="1:8" x14ac:dyDescent="0.25">
      <c r="A81" s="17"/>
      <c r="B81" s="200" t="s">
        <v>200</v>
      </c>
      <c r="C81" s="200"/>
      <c r="D81" s="201"/>
      <c r="E81" s="200" t="s">
        <v>201</v>
      </c>
      <c r="F81" s="200"/>
      <c r="G81" s="200"/>
    </row>
    <row r="82" spans="1:8" x14ac:dyDescent="0.25">
      <c r="A82" s="21" t="s">
        <v>73</v>
      </c>
      <c r="B82" s="7">
        <v>177672</v>
      </c>
      <c r="C82" s="7">
        <v>113603.6</v>
      </c>
      <c r="D82" s="121">
        <v>203124.3</v>
      </c>
      <c r="E82" s="10">
        <f>B82/$I$4</f>
        <v>1463.6460993492051</v>
      </c>
      <c r="F82" s="10">
        <f t="shared" ref="F82:G86" si="16">C82/$I$4</f>
        <v>935.85633083450045</v>
      </c>
      <c r="G82" s="10">
        <f t="shared" si="16"/>
        <v>1673.3198780789191</v>
      </c>
    </row>
    <row r="83" spans="1:8" x14ac:dyDescent="0.25">
      <c r="A83" s="21" t="s">
        <v>104</v>
      </c>
      <c r="B83" s="7">
        <v>28943.96</v>
      </c>
      <c r="C83" s="7">
        <v>14891.32</v>
      </c>
      <c r="D83" s="121">
        <v>55725.17</v>
      </c>
      <c r="E83" s="10">
        <f t="shared" ref="E83:E86" si="17">B83/$I$4</f>
        <v>238.43776258340884</v>
      </c>
      <c r="F83" s="10">
        <f t="shared" si="16"/>
        <v>122.67336683417085</v>
      </c>
      <c r="G83" s="10">
        <f t="shared" si="16"/>
        <v>459.05898344179917</v>
      </c>
    </row>
    <row r="84" spans="1:8" x14ac:dyDescent="0.25">
      <c r="A84" s="82" t="s">
        <v>107</v>
      </c>
      <c r="B84" s="7">
        <f>SUM(B82,B83)</f>
        <v>206615.96</v>
      </c>
      <c r="C84" s="7">
        <f t="shared" ref="C84:D84" si="18">SUM(C82,C83)</f>
        <v>128494.92000000001</v>
      </c>
      <c r="D84" s="121">
        <f t="shared" si="18"/>
        <v>258849.46999999997</v>
      </c>
      <c r="E84" s="10">
        <f t="shared" si="17"/>
        <v>1702.0838619326139</v>
      </c>
      <c r="F84" s="10">
        <f t="shared" si="16"/>
        <v>1058.5296976686714</v>
      </c>
      <c r="G84" s="10">
        <f t="shared" si="16"/>
        <v>2132.3788615207181</v>
      </c>
    </row>
    <row r="85" spans="1:8" x14ac:dyDescent="0.25">
      <c r="A85" s="3" t="s">
        <v>128</v>
      </c>
      <c r="B85" s="7">
        <f>B77</f>
        <v>675373.82604457438</v>
      </c>
      <c r="C85" s="7">
        <f>B77</f>
        <v>675373.82604457438</v>
      </c>
      <c r="D85" s="121">
        <f>B77</f>
        <v>675373.82604457438</v>
      </c>
      <c r="E85" s="10">
        <f t="shared" si="17"/>
        <v>5563.6693800525118</v>
      </c>
      <c r="F85" s="10">
        <f t="shared" si="16"/>
        <v>5563.6693800525118</v>
      </c>
      <c r="G85" s="10">
        <f t="shared" si="16"/>
        <v>5563.6693800525118</v>
      </c>
      <c r="H85" s="3" t="s">
        <v>129</v>
      </c>
    </row>
    <row r="86" spans="1:8" x14ac:dyDescent="0.25">
      <c r="A86" s="5" t="s">
        <v>75</v>
      </c>
      <c r="B86" s="24">
        <f>SUM(B84,B85)</f>
        <v>881989.78604457434</v>
      </c>
      <c r="C86" s="24">
        <f>SUM(C84,C85)</f>
        <v>803868.74604457442</v>
      </c>
      <c r="D86" s="133">
        <f>SUM(D84,D85)</f>
        <v>934223.29604457435</v>
      </c>
      <c r="E86" s="10">
        <f t="shared" si="17"/>
        <v>7265.753241985125</v>
      </c>
      <c r="F86" s="10">
        <f t="shared" si="16"/>
        <v>6622.1990777211831</v>
      </c>
      <c r="G86" s="10">
        <f t="shared" si="16"/>
        <v>7696.0482415732295</v>
      </c>
    </row>
    <row r="89" spans="1:8" ht="18" thickBot="1" x14ac:dyDescent="0.3">
      <c r="A89" s="88" t="s">
        <v>217</v>
      </c>
      <c r="B89" s="22"/>
      <c r="C89" s="22"/>
      <c r="D89" s="125"/>
      <c r="E89" s="22"/>
      <c r="F89" s="22"/>
      <c r="G89" s="22"/>
      <c r="H89" s="22"/>
    </row>
    <row r="90" spans="1:8" ht="14.4" thickTop="1" x14ac:dyDescent="0.25">
      <c r="B90" s="16" t="s">
        <v>14</v>
      </c>
      <c r="C90" s="16" t="s">
        <v>16</v>
      </c>
      <c r="D90" s="16" t="s">
        <v>15</v>
      </c>
    </row>
    <row r="91" spans="1:8" x14ac:dyDescent="0.25">
      <c r="A91" s="3" t="s">
        <v>218</v>
      </c>
      <c r="B91" s="44">
        <f>B14</f>
        <v>19.349999999999994</v>
      </c>
      <c r="C91" s="44">
        <f>C14</f>
        <v>26.540539999999996</v>
      </c>
      <c r="D91" s="44">
        <f>D14</f>
        <v>25.22</v>
      </c>
    </row>
    <row r="92" spans="1:8" x14ac:dyDescent="0.25">
      <c r="A92" s="3" t="s">
        <v>219</v>
      </c>
      <c r="B92" s="3">
        <v>23.9</v>
      </c>
      <c r="C92" s="3">
        <v>42.4</v>
      </c>
      <c r="D92" s="3">
        <v>32.1</v>
      </c>
    </row>
    <row r="93" spans="1:8" x14ac:dyDescent="0.25">
      <c r="A93" s="3" t="s">
        <v>220</v>
      </c>
      <c r="B93" s="196">
        <f>B91*B92</f>
        <v>462.46499999999986</v>
      </c>
      <c r="C93" s="196">
        <f t="shared" ref="C93:D93" si="19">C91*C92</f>
        <v>1125.3188959999998</v>
      </c>
      <c r="D93" s="196">
        <f t="shared" si="19"/>
        <v>809.56200000000001</v>
      </c>
    </row>
  </sheetData>
  <mergeCells count="11">
    <mergeCell ref="T39:T40"/>
    <mergeCell ref="B53:D53"/>
    <mergeCell ref="E53:G53"/>
    <mergeCell ref="B63:D63"/>
    <mergeCell ref="E63:G63"/>
    <mergeCell ref="B73:D73"/>
    <mergeCell ref="E73:G73"/>
    <mergeCell ref="B81:D81"/>
    <mergeCell ref="E81:G81"/>
    <mergeCell ref="B42:E42"/>
    <mergeCell ref="F42:I42"/>
  </mergeCells>
  <pageMargins left="0.7" right="0.7" top="0.75" bottom="0.75" header="0.3" footer="0.3"/>
  <pageSetup orientation="portrait" horizontalDpi="300" verticalDpi="300" r:id="rId1"/>
  <ignoredErrors>
    <ignoredError sqref="D57 C77:D77 C85:D8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48210-3422-4C2E-9FF7-9C919DF5C68B}">
  <sheetPr codeName="Sheet5"/>
  <dimension ref="A1:L20"/>
  <sheetViews>
    <sheetView topLeftCell="A6" zoomScale="85" zoomScaleNormal="85" workbookViewId="0">
      <selection activeCell="A12" sqref="A12"/>
    </sheetView>
  </sheetViews>
  <sheetFormatPr defaultRowHeight="14.4" x14ac:dyDescent="0.3"/>
  <cols>
    <col min="1" max="1" width="20.6640625" style="1" customWidth="1"/>
    <col min="2" max="2" width="12" style="1" customWidth="1"/>
    <col min="3" max="3" width="11.21875" style="1" bestFit="1" customWidth="1"/>
    <col min="4" max="7" width="12.77734375" style="1" customWidth="1"/>
    <col min="8" max="8" width="58.6640625" style="1" bestFit="1" customWidth="1"/>
    <col min="9" max="10" width="10.21875" style="1" bestFit="1" customWidth="1"/>
    <col min="11" max="16384" width="8.88671875" style="1"/>
  </cols>
  <sheetData>
    <row r="1" spans="1:12" ht="18" thickBot="1" x14ac:dyDescent="0.35">
      <c r="A1" s="88" t="s">
        <v>91</v>
      </c>
      <c r="B1" s="55"/>
      <c r="C1" s="53"/>
      <c r="D1" s="53"/>
      <c r="E1" s="53"/>
      <c r="F1" s="53"/>
      <c r="G1" s="53"/>
      <c r="H1" s="53"/>
      <c r="I1" s="53"/>
    </row>
    <row r="2" spans="1:12" ht="15" thickTop="1" x14ac:dyDescent="0.3">
      <c r="A2" s="56" t="s">
        <v>90</v>
      </c>
      <c r="B2" s="8"/>
      <c r="H2" s="56" t="s">
        <v>92</v>
      </c>
      <c r="I2" s="56"/>
      <c r="J2" s="56"/>
      <c r="K2" s="56"/>
      <c r="L2" s="56"/>
    </row>
    <row r="3" spans="1:12" x14ac:dyDescent="0.3">
      <c r="A3" s="56"/>
      <c r="B3" s="146" t="s">
        <v>200</v>
      </c>
      <c r="C3" s="144" t="s">
        <v>201</v>
      </c>
      <c r="H3" s="198" t="s">
        <v>222</v>
      </c>
      <c r="I3" s="49"/>
      <c r="J3" s="49"/>
      <c r="K3" s="49"/>
      <c r="L3" s="56"/>
    </row>
    <row r="4" spans="1:12" x14ac:dyDescent="0.3">
      <c r="A4" s="49" t="s">
        <v>14</v>
      </c>
      <c r="B4" s="121">
        <v>825940.2</v>
      </c>
      <c r="C4" s="1">
        <f>B4/$I$4</f>
        <v>6804.021748084685</v>
      </c>
      <c r="H4" t="s">
        <v>203</v>
      </c>
      <c r="I4" s="3">
        <v>121.39</v>
      </c>
      <c r="J4" s="3"/>
      <c r="K4" s="3"/>
    </row>
    <row r="5" spans="1:12" x14ac:dyDescent="0.3">
      <c r="A5" s="49" t="s">
        <v>16</v>
      </c>
      <c r="B5" s="121">
        <v>952502.5</v>
      </c>
      <c r="C5" s="1">
        <f>B5/$I$4</f>
        <v>7846.6306944558855</v>
      </c>
    </row>
    <row r="6" spans="1:12" x14ac:dyDescent="0.3">
      <c r="A6" s="49" t="s">
        <v>15</v>
      </c>
      <c r="B6" s="121">
        <v>1356405</v>
      </c>
      <c r="C6" s="1">
        <f>B6/$I$4</f>
        <v>11173.943487931461</v>
      </c>
    </row>
    <row r="7" spans="1:12" x14ac:dyDescent="0.3">
      <c r="A7" s="56" t="s">
        <v>44</v>
      </c>
      <c r="B7" s="121"/>
    </row>
    <row r="8" spans="1:12" x14ac:dyDescent="0.3">
      <c r="A8" s="8" t="s">
        <v>38</v>
      </c>
      <c r="B8" s="121">
        <v>1094147</v>
      </c>
      <c r="C8" s="1">
        <f>B8/$I$4</f>
        <v>9013.4854600873223</v>
      </c>
    </row>
    <row r="9" spans="1:12" x14ac:dyDescent="0.3">
      <c r="A9" s="8" t="s">
        <v>40</v>
      </c>
      <c r="B9" s="121">
        <v>1292262</v>
      </c>
      <c r="C9" s="1">
        <f>B9/$I$4</f>
        <v>10645.539171266168</v>
      </c>
    </row>
    <row r="10" spans="1:12" x14ac:dyDescent="0.3">
      <c r="A10" s="56" t="s">
        <v>3</v>
      </c>
      <c r="B10" s="121">
        <v>1060774</v>
      </c>
      <c r="C10" s="1">
        <f>B10/$I$4</f>
        <v>8738.5616607628308</v>
      </c>
    </row>
    <row r="12" spans="1:12" ht="18" thickBot="1" x14ac:dyDescent="0.35">
      <c r="A12" s="88" t="s">
        <v>131</v>
      </c>
      <c r="B12" s="55"/>
      <c r="C12" s="53"/>
      <c r="D12" s="45"/>
      <c r="E12" s="45"/>
      <c r="F12" s="45"/>
      <c r="G12" s="45"/>
      <c r="H12" s="45"/>
    </row>
    <row r="13" spans="1:12" ht="15" thickTop="1" x14ac:dyDescent="0.3">
      <c r="B13" s="43" t="s">
        <v>14</v>
      </c>
      <c r="C13" s="43" t="s">
        <v>16</v>
      </c>
      <c r="D13" s="43" t="s">
        <v>15</v>
      </c>
      <c r="E13" s="43"/>
      <c r="F13" s="43"/>
      <c r="G13" s="43"/>
      <c r="H13" s="56" t="s">
        <v>92</v>
      </c>
    </row>
    <row r="14" spans="1:12" x14ac:dyDescent="0.3">
      <c r="A14" s="49" t="s">
        <v>38</v>
      </c>
      <c r="B14" s="49" t="str">
        <f>'2. Indirect Cost Savings'!B72</f>
        <v>N = 34</v>
      </c>
      <c r="C14" s="49" t="str">
        <f>'2. Indirect Cost Savings'!C72</f>
        <v>N = 79</v>
      </c>
      <c r="D14" s="49" t="str">
        <f>'2. Indirect Cost Savings'!D72</f>
        <v>N = 60</v>
      </c>
      <c r="E14" s="49"/>
      <c r="F14" s="49"/>
      <c r="G14" s="49"/>
    </row>
    <row r="15" spans="1:12" x14ac:dyDescent="0.3">
      <c r="A15" s="49"/>
      <c r="B15" s="206" t="s">
        <v>200</v>
      </c>
      <c r="C15" s="206"/>
      <c r="D15" s="207"/>
      <c r="E15" s="206" t="s">
        <v>201</v>
      </c>
      <c r="F15" s="206"/>
      <c r="G15" s="206"/>
    </row>
    <row r="16" spans="1:12" x14ac:dyDescent="0.3">
      <c r="A16" s="49" t="s">
        <v>130</v>
      </c>
      <c r="B16" s="8">
        <v>527254.9</v>
      </c>
      <c r="C16" s="8">
        <v>914412.3</v>
      </c>
      <c r="D16" s="145">
        <v>1652035</v>
      </c>
      <c r="E16" s="8">
        <f>B16/$I$4</f>
        <v>4343.4788697586291</v>
      </c>
      <c r="F16" s="8">
        <f>C16/$I$4</f>
        <v>7532.8470219952223</v>
      </c>
      <c r="G16" s="8">
        <f>D16/$I$4</f>
        <v>13609.317077189226</v>
      </c>
    </row>
    <row r="17" spans="1:7" x14ac:dyDescent="0.3">
      <c r="A17" s="49"/>
      <c r="B17" s="8"/>
      <c r="C17" s="8"/>
      <c r="D17" s="8"/>
      <c r="E17" s="8"/>
      <c r="F17" s="8"/>
      <c r="G17" s="8"/>
    </row>
    <row r="18" spans="1:7" x14ac:dyDescent="0.3">
      <c r="A18" s="49" t="s">
        <v>40</v>
      </c>
      <c r="B18" s="8" t="s">
        <v>123</v>
      </c>
      <c r="C18" s="8" t="s">
        <v>124</v>
      </c>
      <c r="D18" s="8" t="s">
        <v>125</v>
      </c>
      <c r="E18" s="8"/>
      <c r="F18" s="8"/>
      <c r="G18" s="8"/>
    </row>
    <row r="19" spans="1:7" x14ac:dyDescent="0.3">
      <c r="A19" s="49"/>
      <c r="B19" s="206" t="s">
        <v>200</v>
      </c>
      <c r="C19" s="206"/>
      <c r="D19" s="207"/>
      <c r="E19" s="206" t="s">
        <v>201</v>
      </c>
      <c r="F19" s="206"/>
      <c r="G19" s="206"/>
    </row>
    <row r="20" spans="1:7" x14ac:dyDescent="0.3">
      <c r="A20" s="49" t="s">
        <v>130</v>
      </c>
      <c r="B20" s="8">
        <v>1200000</v>
      </c>
      <c r="C20" s="8">
        <v>604591.80000000005</v>
      </c>
      <c r="D20" s="145">
        <v>2171429</v>
      </c>
      <c r="E20" s="8">
        <f>B20/$I$4</f>
        <v>9885.4930389653182</v>
      </c>
      <c r="F20" s="8">
        <f>C20/$I$4</f>
        <v>4980.5733585962607</v>
      </c>
      <c r="G20" s="8">
        <f>D20/$I$4</f>
        <v>17888.038553422852</v>
      </c>
    </row>
  </sheetData>
  <mergeCells count="4">
    <mergeCell ref="B15:D15"/>
    <mergeCell ref="E15:G15"/>
    <mergeCell ref="B19:D19"/>
    <mergeCell ref="E19:G1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BD78A-2C16-4DCE-B263-F345D1539A81}">
  <sheetPr codeName="Sheet6"/>
  <dimension ref="A1:G88"/>
  <sheetViews>
    <sheetView topLeftCell="A49" zoomScale="55" zoomScaleNormal="55" workbookViewId="0">
      <selection activeCell="B68" sqref="B68:C68"/>
    </sheetView>
  </sheetViews>
  <sheetFormatPr defaultRowHeight="13.8" x14ac:dyDescent="0.25"/>
  <cols>
    <col min="1" max="1" width="21.44140625" style="3" customWidth="1"/>
    <col min="2" max="2" width="24.5546875" style="3" bestFit="1" customWidth="1"/>
    <col min="3" max="3" width="13.21875" style="3" bestFit="1" customWidth="1"/>
    <col min="4" max="4" width="12.44140625" style="3" customWidth="1"/>
    <col min="5" max="5" width="64.5546875" style="3" bestFit="1" customWidth="1"/>
    <col min="6" max="7" width="11.21875" style="3" bestFit="1" customWidth="1"/>
    <col min="8" max="16384" width="8.88671875" style="3"/>
  </cols>
  <sheetData>
    <row r="1" spans="1:7" ht="18" thickBot="1" x14ac:dyDescent="0.3">
      <c r="A1" s="88" t="s">
        <v>111</v>
      </c>
      <c r="B1" s="22"/>
      <c r="C1" s="22"/>
      <c r="D1" s="22"/>
      <c r="E1" s="22"/>
    </row>
    <row r="2" spans="1:7" ht="18" thickTop="1" x14ac:dyDescent="0.25">
      <c r="A2" s="89" t="s">
        <v>200</v>
      </c>
    </row>
    <row r="3" spans="1:7" x14ac:dyDescent="0.25">
      <c r="B3" s="16" t="s">
        <v>57</v>
      </c>
      <c r="C3" s="16" t="s">
        <v>36</v>
      </c>
      <c r="E3" s="16" t="s">
        <v>92</v>
      </c>
    </row>
    <row r="4" spans="1:7" x14ac:dyDescent="0.25">
      <c r="A4" s="3" t="s">
        <v>2</v>
      </c>
      <c r="B4" s="8">
        <v>578135.1</v>
      </c>
      <c r="C4" s="23">
        <f>B5-B4</f>
        <v>693303.9</v>
      </c>
      <c r="E4" s="14" t="s">
        <v>114</v>
      </c>
    </row>
    <row r="5" spans="1:7" x14ac:dyDescent="0.25">
      <c r="A5" s="3" t="s">
        <v>1</v>
      </c>
      <c r="B5" s="8">
        <v>1271439</v>
      </c>
      <c r="C5" s="37"/>
      <c r="E5" s="14" t="s">
        <v>115</v>
      </c>
      <c r="G5" s="16"/>
    </row>
    <row r="6" spans="1:7" x14ac:dyDescent="0.25">
      <c r="B6" s="8"/>
      <c r="C6" s="37"/>
      <c r="E6" s="14" t="s">
        <v>173</v>
      </c>
      <c r="G6" s="16"/>
    </row>
    <row r="7" spans="1:7" x14ac:dyDescent="0.25">
      <c r="B7" s="8"/>
      <c r="C7" s="37"/>
      <c r="E7" s="3" t="s">
        <v>174</v>
      </c>
      <c r="G7" s="16"/>
    </row>
    <row r="8" spans="1:7" ht="17.399999999999999" x14ac:dyDescent="0.25">
      <c r="A8" s="89" t="s">
        <v>201</v>
      </c>
      <c r="B8" s="8"/>
      <c r="C8" s="37"/>
      <c r="E8" s="14" t="s">
        <v>203</v>
      </c>
      <c r="F8" s="3">
        <v>121.39</v>
      </c>
      <c r="G8" s="16"/>
    </row>
    <row r="9" spans="1:7" x14ac:dyDescent="0.25">
      <c r="B9" s="16" t="s">
        <v>57</v>
      </c>
      <c r="C9" s="16" t="s">
        <v>36</v>
      </c>
      <c r="E9" s="14"/>
      <c r="G9" s="16"/>
    </row>
    <row r="10" spans="1:7" x14ac:dyDescent="0.25">
      <c r="A10" s="3" t="s">
        <v>2</v>
      </c>
      <c r="B10" s="8">
        <f>B4/$F$8</f>
        <v>4762.6254221929321</v>
      </c>
      <c r="C10" s="8">
        <f>C4/$F$8</f>
        <v>5711.3757311145891</v>
      </c>
      <c r="G10" s="16"/>
    </row>
    <row r="11" spans="1:7" x14ac:dyDescent="0.25">
      <c r="A11" s="3" t="s">
        <v>1</v>
      </c>
      <c r="B11" s="8">
        <f>B5/$F$8</f>
        <v>10474.001153307521</v>
      </c>
    </row>
    <row r="13" spans="1:7" ht="18" thickBot="1" x14ac:dyDescent="0.3">
      <c r="A13" s="88" t="s">
        <v>112</v>
      </c>
      <c r="B13" s="88"/>
      <c r="C13" s="88"/>
      <c r="D13" s="88"/>
      <c r="E13" s="88"/>
    </row>
    <row r="14" spans="1:7" ht="18" thickTop="1" x14ac:dyDescent="0.25">
      <c r="A14" s="89" t="s">
        <v>200</v>
      </c>
      <c r="B14" s="89"/>
      <c r="C14" s="89"/>
      <c r="D14" s="89"/>
      <c r="E14" s="89"/>
    </row>
    <row r="15" spans="1:7" x14ac:dyDescent="0.25">
      <c r="A15" s="17" t="s">
        <v>14</v>
      </c>
      <c r="B15" s="54" t="s">
        <v>58</v>
      </c>
      <c r="C15" s="54" t="s">
        <v>36</v>
      </c>
    </row>
    <row r="16" spans="1:7" x14ac:dyDescent="0.25">
      <c r="A16" s="3" t="s">
        <v>93</v>
      </c>
      <c r="B16" s="7">
        <v>538412.5</v>
      </c>
      <c r="C16" s="7">
        <f>B17-B16</f>
        <v>1287015.5</v>
      </c>
    </row>
    <row r="17" spans="1:5" x14ac:dyDescent="0.25">
      <c r="A17" s="3" t="s">
        <v>1</v>
      </c>
      <c r="B17" s="7">
        <v>1825428</v>
      </c>
    </row>
    <row r="18" spans="1:5" x14ac:dyDescent="0.25">
      <c r="A18" s="17" t="s">
        <v>16</v>
      </c>
    </row>
    <row r="19" spans="1:5" x14ac:dyDescent="0.25">
      <c r="A19" s="3" t="s">
        <v>93</v>
      </c>
      <c r="B19" s="7">
        <v>479386.7</v>
      </c>
      <c r="C19" s="7">
        <f>B20-B19</f>
        <v>292127.10000000003</v>
      </c>
    </row>
    <row r="20" spans="1:5" x14ac:dyDescent="0.25">
      <c r="A20" s="3" t="s">
        <v>1</v>
      </c>
      <c r="B20" s="7">
        <v>771513.8</v>
      </c>
    </row>
    <row r="21" spans="1:5" x14ac:dyDescent="0.25">
      <c r="A21" s="17" t="s">
        <v>15</v>
      </c>
    </row>
    <row r="22" spans="1:5" x14ac:dyDescent="0.25">
      <c r="A22" s="3" t="s">
        <v>93</v>
      </c>
      <c r="B22" s="7">
        <v>723279.7</v>
      </c>
      <c r="C22" s="13">
        <f>B23-B22</f>
        <v>1029639.3</v>
      </c>
      <c r="E22" s="15" t="s">
        <v>223</v>
      </c>
    </row>
    <row r="23" spans="1:5" x14ac:dyDescent="0.25">
      <c r="A23" s="3" t="s">
        <v>1</v>
      </c>
      <c r="B23" s="7">
        <v>1752919</v>
      </c>
    </row>
    <row r="24" spans="1:5" x14ac:dyDescent="0.25">
      <c r="B24" s="7"/>
    </row>
    <row r="25" spans="1:5" ht="17.399999999999999" x14ac:dyDescent="0.25">
      <c r="A25" s="89" t="s">
        <v>201</v>
      </c>
      <c r="B25" s="7"/>
    </row>
    <row r="26" spans="1:5" x14ac:dyDescent="0.25">
      <c r="A26" s="17" t="s">
        <v>14</v>
      </c>
      <c r="B26" s="54" t="s">
        <v>58</v>
      </c>
      <c r="C26" s="54" t="s">
        <v>36</v>
      </c>
    </row>
    <row r="27" spans="1:5" x14ac:dyDescent="0.25">
      <c r="A27" s="3" t="s">
        <v>93</v>
      </c>
      <c r="B27" s="7">
        <f>B16/$F$8</f>
        <v>4435.3941840349289</v>
      </c>
      <c r="C27" s="7">
        <f>C16/$F$8</f>
        <v>10602.318971908724</v>
      </c>
    </row>
    <row r="28" spans="1:5" x14ac:dyDescent="0.25">
      <c r="A28" s="3" t="s">
        <v>1</v>
      </c>
      <c r="B28" s="7">
        <f>B17/$F$8</f>
        <v>15037.713155943653</v>
      </c>
    </row>
    <row r="29" spans="1:5" x14ac:dyDescent="0.25">
      <c r="A29" s="17" t="s">
        <v>16</v>
      </c>
    </row>
    <row r="30" spans="1:5" x14ac:dyDescent="0.25">
      <c r="A30" s="3" t="s">
        <v>93</v>
      </c>
      <c r="B30" s="7">
        <f>B19/$F$8</f>
        <v>3949.1449048521295</v>
      </c>
      <c r="C30" s="7">
        <f>C19/$F$8</f>
        <v>2406.5170112859382</v>
      </c>
    </row>
    <row r="31" spans="1:5" x14ac:dyDescent="0.25">
      <c r="A31" s="3" t="s">
        <v>1</v>
      </c>
      <c r="B31" s="7">
        <f>B20/$F$8</f>
        <v>6355.6619161380677</v>
      </c>
    </row>
    <row r="32" spans="1:5" x14ac:dyDescent="0.25">
      <c r="A32" s="17" t="s">
        <v>15</v>
      </c>
    </row>
    <row r="33" spans="1:7" x14ac:dyDescent="0.25">
      <c r="A33" s="3" t="s">
        <v>93</v>
      </c>
      <c r="B33" s="7">
        <f>B22/$F$8</f>
        <v>5958.3136996457697</v>
      </c>
      <c r="C33" s="7">
        <f>C22/$F$8</f>
        <v>8482.07677732927</v>
      </c>
    </row>
    <row r="34" spans="1:7" x14ac:dyDescent="0.25">
      <c r="A34" s="3" t="s">
        <v>1</v>
      </c>
      <c r="B34" s="7">
        <f>B23/$F$8</f>
        <v>14440.390476975039</v>
      </c>
    </row>
    <row r="35" spans="1:7" x14ac:dyDescent="0.25">
      <c r="B35" s="7"/>
    </row>
    <row r="36" spans="1:7" ht="18" thickBot="1" x14ac:dyDescent="0.3">
      <c r="A36" s="88" t="s">
        <v>113</v>
      </c>
      <c r="B36" s="88"/>
      <c r="C36" s="88"/>
      <c r="D36" s="88"/>
      <c r="E36" s="88"/>
    </row>
    <row r="37" spans="1:7" ht="18" thickTop="1" x14ac:dyDescent="0.25">
      <c r="A37" s="89" t="s">
        <v>200</v>
      </c>
      <c r="B37" s="89"/>
      <c r="C37" s="89"/>
      <c r="D37" s="89"/>
      <c r="E37" s="89"/>
    </row>
    <row r="38" spans="1:7" ht="15.6" customHeight="1" x14ac:dyDescent="0.25">
      <c r="B38" s="54" t="s">
        <v>50</v>
      </c>
      <c r="C38" s="54" t="s">
        <v>36</v>
      </c>
    </row>
    <row r="39" spans="1:7" x14ac:dyDescent="0.25">
      <c r="A39" s="17" t="s">
        <v>38</v>
      </c>
      <c r="F39" s="7"/>
      <c r="G39" s="7"/>
    </row>
    <row r="40" spans="1:7" x14ac:dyDescent="0.25">
      <c r="A40" s="3" t="s">
        <v>93</v>
      </c>
      <c r="B40" s="7">
        <v>450805.6</v>
      </c>
      <c r="C40" s="13">
        <f>B41-B40</f>
        <v>686114.4</v>
      </c>
    </row>
    <row r="41" spans="1:7" x14ac:dyDescent="0.25">
      <c r="A41" s="3" t="s">
        <v>1</v>
      </c>
      <c r="B41" s="7">
        <v>1136920</v>
      </c>
    </row>
    <row r="42" spans="1:7" x14ac:dyDescent="0.25">
      <c r="A42" s="17" t="s">
        <v>40</v>
      </c>
    </row>
    <row r="43" spans="1:7" x14ac:dyDescent="0.25">
      <c r="A43" s="3" t="s">
        <v>93</v>
      </c>
      <c r="B43" s="7">
        <v>605913.4</v>
      </c>
      <c r="C43" s="13">
        <f>B44-B43</f>
        <v>657930.6</v>
      </c>
    </row>
    <row r="44" spans="1:7" x14ac:dyDescent="0.25">
      <c r="A44" s="3" t="s">
        <v>1</v>
      </c>
      <c r="B44" s="7">
        <v>1263844</v>
      </c>
    </row>
    <row r="46" spans="1:7" ht="17.399999999999999" x14ac:dyDescent="0.25">
      <c r="A46" s="89" t="s">
        <v>201</v>
      </c>
    </row>
    <row r="47" spans="1:7" x14ac:dyDescent="0.25">
      <c r="B47" s="54" t="s">
        <v>50</v>
      </c>
      <c r="C47" s="54" t="s">
        <v>36</v>
      </c>
    </row>
    <row r="48" spans="1:7" x14ac:dyDescent="0.25">
      <c r="A48" s="17" t="s">
        <v>38</v>
      </c>
    </row>
    <row r="49" spans="1:6" x14ac:dyDescent="0.25">
      <c r="A49" s="3" t="s">
        <v>93</v>
      </c>
      <c r="B49" s="7">
        <f>B40/$F$8</f>
        <v>3713.6963506054863</v>
      </c>
      <c r="C49" s="7">
        <f>C40/$F$8</f>
        <v>5652.1492709448885</v>
      </c>
    </row>
    <row r="50" spans="1:6" x14ac:dyDescent="0.25">
      <c r="A50" s="3" t="s">
        <v>1</v>
      </c>
      <c r="B50" s="7">
        <f>B41/$F$8</f>
        <v>9365.8456215503757</v>
      </c>
    </row>
    <row r="51" spans="1:6" x14ac:dyDescent="0.25">
      <c r="A51" s="17" t="s">
        <v>40</v>
      </c>
    </row>
    <row r="52" spans="1:6" x14ac:dyDescent="0.25">
      <c r="A52" s="3" t="s">
        <v>93</v>
      </c>
      <c r="B52" s="7">
        <f>B43/$F$8</f>
        <v>4991.4605815965069</v>
      </c>
      <c r="C52" s="7">
        <f>C43/$F$8</f>
        <v>5419.9736386852292</v>
      </c>
    </row>
    <row r="53" spans="1:6" x14ac:dyDescent="0.25">
      <c r="A53" s="3" t="s">
        <v>1</v>
      </c>
      <c r="B53" s="7">
        <f>B44/$F$8</f>
        <v>10411.434220281737</v>
      </c>
    </row>
    <row r="55" spans="1:6" ht="18" thickBot="1" x14ac:dyDescent="0.35">
      <c r="A55" s="88" t="s">
        <v>132</v>
      </c>
      <c r="B55" s="55"/>
      <c r="C55" s="53"/>
      <c r="D55" s="45"/>
      <c r="E55" s="45"/>
      <c r="F55" s="1"/>
    </row>
    <row r="56" spans="1:6" ht="18" thickTop="1" x14ac:dyDescent="0.3">
      <c r="A56" s="89" t="s">
        <v>200</v>
      </c>
      <c r="B56" s="7"/>
      <c r="C56" s="2"/>
      <c r="D56" s="84"/>
      <c r="E56" s="84"/>
      <c r="F56" s="1"/>
    </row>
    <row r="57" spans="1:6" ht="17.399999999999999" x14ac:dyDescent="0.3">
      <c r="A57" s="43" t="s">
        <v>2</v>
      </c>
      <c r="B57" s="7"/>
      <c r="C57" s="2"/>
      <c r="D57" s="84"/>
      <c r="E57" s="84"/>
      <c r="F57" s="1"/>
    </row>
    <row r="58" spans="1:6" ht="14.4" x14ac:dyDescent="0.3">
      <c r="A58" s="1"/>
      <c r="B58" s="43" t="s">
        <v>14</v>
      </c>
      <c r="C58" s="43" t="s">
        <v>16</v>
      </c>
      <c r="D58" s="43" t="s">
        <v>15</v>
      </c>
      <c r="E58" s="56" t="s">
        <v>92</v>
      </c>
      <c r="F58" s="1"/>
    </row>
    <row r="59" spans="1:6" ht="14.4" x14ac:dyDescent="0.3">
      <c r="A59" s="49" t="s">
        <v>38</v>
      </c>
      <c r="B59" s="8" t="s">
        <v>133</v>
      </c>
      <c r="C59" s="8" t="s">
        <v>134</v>
      </c>
      <c r="D59" s="8" t="s">
        <v>135</v>
      </c>
      <c r="E59" s="1"/>
      <c r="F59" s="1"/>
    </row>
    <row r="60" spans="1:6" ht="14.4" x14ac:dyDescent="0.3">
      <c r="A60" s="49" t="s">
        <v>50</v>
      </c>
      <c r="B60" s="8">
        <v>615952.80000000005</v>
      </c>
      <c r="C60" s="8">
        <v>435042.7</v>
      </c>
      <c r="D60" s="8">
        <v>385591.9</v>
      </c>
      <c r="E60" s="1"/>
      <c r="F60" s="1"/>
    </row>
    <row r="61" spans="1:6" ht="14.4" x14ac:dyDescent="0.3">
      <c r="A61" s="49" t="s">
        <v>40</v>
      </c>
      <c r="B61" s="8" t="s">
        <v>136</v>
      </c>
      <c r="C61" s="8" t="s">
        <v>137</v>
      </c>
      <c r="D61" s="8" t="s">
        <v>125</v>
      </c>
      <c r="E61" s="1"/>
      <c r="F61" s="1"/>
    </row>
    <row r="62" spans="1:6" ht="14.4" x14ac:dyDescent="0.3">
      <c r="A62" s="49" t="s">
        <v>50</v>
      </c>
      <c r="B62" s="8">
        <v>242333.3</v>
      </c>
      <c r="C62" s="8">
        <v>566666.69999999995</v>
      </c>
      <c r="D62" s="8">
        <v>746730.2</v>
      </c>
      <c r="E62" s="1"/>
    </row>
    <row r="63" spans="1:6" ht="17.399999999999999" x14ac:dyDescent="0.3">
      <c r="A63" s="56" t="s">
        <v>1</v>
      </c>
      <c r="B63" s="7"/>
      <c r="C63" s="2"/>
      <c r="D63" s="84"/>
      <c r="E63" s="84"/>
    </row>
    <row r="64" spans="1:6" ht="14.4" x14ac:dyDescent="0.3">
      <c r="A64" s="85"/>
      <c r="B64" s="43" t="s">
        <v>14</v>
      </c>
      <c r="C64" s="43" t="s">
        <v>16</v>
      </c>
      <c r="D64" s="43" t="s">
        <v>15</v>
      </c>
      <c r="E64" s="56" t="s">
        <v>92</v>
      </c>
    </row>
    <row r="65" spans="1:5" ht="14.4" x14ac:dyDescent="0.3">
      <c r="A65" s="49" t="s">
        <v>38</v>
      </c>
      <c r="B65" s="8" t="s">
        <v>138</v>
      </c>
      <c r="C65" s="8" t="s">
        <v>139</v>
      </c>
      <c r="D65" s="8" t="s">
        <v>140</v>
      </c>
      <c r="E65" s="1"/>
    </row>
    <row r="66" spans="1:5" ht="14.4" x14ac:dyDescent="0.3">
      <c r="A66" s="49" t="s">
        <v>50</v>
      </c>
      <c r="B66" s="8">
        <v>670380</v>
      </c>
      <c r="C66" s="8">
        <v>822277.7</v>
      </c>
      <c r="D66" s="8">
        <v>2028269</v>
      </c>
      <c r="E66" s="1"/>
    </row>
    <row r="67" spans="1:5" ht="14.4" x14ac:dyDescent="0.3">
      <c r="A67" s="49" t="s">
        <v>40</v>
      </c>
      <c r="B67" s="8" t="s">
        <v>137</v>
      </c>
      <c r="C67" s="8" t="s">
        <v>141</v>
      </c>
      <c r="D67" s="8" t="s">
        <v>142</v>
      </c>
      <c r="E67" s="1"/>
    </row>
    <row r="68" spans="1:5" ht="14.4" x14ac:dyDescent="0.3">
      <c r="A68" s="49" t="s">
        <v>50</v>
      </c>
      <c r="B68" s="8">
        <v>1131111</v>
      </c>
      <c r="C68" s="8">
        <v>1363393</v>
      </c>
      <c r="D68" s="8">
        <f>AVERAGE(B68,C68)</f>
        <v>1247252</v>
      </c>
      <c r="E68" s="1" t="s">
        <v>175</v>
      </c>
    </row>
    <row r="69" spans="1:5" x14ac:dyDescent="0.25">
      <c r="A69" s="35" t="s">
        <v>143</v>
      </c>
    </row>
    <row r="70" spans="1:5" x14ac:dyDescent="0.25">
      <c r="A70" s="21" t="s">
        <v>38</v>
      </c>
      <c r="B70" s="13">
        <f>B66-B60</f>
        <v>54427.199999999953</v>
      </c>
      <c r="C70" s="13">
        <f t="shared" ref="C70:D70" si="0">C66-C60</f>
        <v>387234.99999999994</v>
      </c>
      <c r="D70" s="13">
        <f t="shared" si="0"/>
        <v>1642677.1</v>
      </c>
    </row>
    <row r="71" spans="1:5" x14ac:dyDescent="0.25">
      <c r="A71" s="21" t="s">
        <v>40</v>
      </c>
      <c r="B71" s="13">
        <f>B68-B62</f>
        <v>888777.7</v>
      </c>
      <c r="C71" s="13">
        <f t="shared" ref="C71:D71" si="1">C68-C62</f>
        <v>796726.3</v>
      </c>
      <c r="D71" s="13">
        <f t="shared" si="1"/>
        <v>500521.80000000005</v>
      </c>
    </row>
    <row r="72" spans="1:5" x14ac:dyDescent="0.25">
      <c r="A72" s="21"/>
      <c r="B72" s="13"/>
      <c r="C72" s="13"/>
      <c r="D72" s="13"/>
    </row>
    <row r="73" spans="1:5" ht="17.399999999999999" x14ac:dyDescent="0.25">
      <c r="A73" s="89" t="s">
        <v>201</v>
      </c>
    </row>
    <row r="74" spans="1:5" ht="17.399999999999999" x14ac:dyDescent="0.3">
      <c r="A74" s="43" t="s">
        <v>2</v>
      </c>
      <c r="B74" s="7"/>
      <c r="C74" s="2"/>
      <c r="D74" s="84"/>
    </row>
    <row r="75" spans="1:5" ht="14.4" x14ac:dyDescent="0.3">
      <c r="A75" s="1"/>
      <c r="B75" s="43" t="s">
        <v>14</v>
      </c>
      <c r="C75" s="43" t="s">
        <v>16</v>
      </c>
      <c r="D75" s="43" t="s">
        <v>15</v>
      </c>
    </row>
    <row r="76" spans="1:5" x14ac:dyDescent="0.25">
      <c r="A76" s="49" t="s">
        <v>38</v>
      </c>
      <c r="B76" s="8" t="s">
        <v>133</v>
      </c>
      <c r="C76" s="8" t="s">
        <v>134</v>
      </c>
      <c r="D76" s="8" t="s">
        <v>135</v>
      </c>
    </row>
    <row r="77" spans="1:5" x14ac:dyDescent="0.25">
      <c r="A77" s="49" t="s">
        <v>50</v>
      </c>
      <c r="B77" s="8">
        <f>B60/$F$8</f>
        <v>5074.1642639426645</v>
      </c>
      <c r="C77" s="8">
        <f t="shared" ref="C77:D77" si="2">C60/$F$8</f>
        <v>3583.842985418898</v>
      </c>
      <c r="D77" s="8">
        <f t="shared" si="2"/>
        <v>3176.4717027761762</v>
      </c>
    </row>
    <row r="78" spans="1:5" x14ac:dyDescent="0.25">
      <c r="A78" s="49" t="s">
        <v>40</v>
      </c>
      <c r="B78" s="8" t="s">
        <v>136</v>
      </c>
      <c r="C78" s="8" t="s">
        <v>137</v>
      </c>
      <c r="D78" s="8" t="s">
        <v>125</v>
      </c>
    </row>
    <row r="79" spans="1:5" x14ac:dyDescent="0.25">
      <c r="A79" s="49" t="s">
        <v>50</v>
      </c>
      <c r="B79" s="8">
        <f t="shared" ref="B79:D79" si="3">B62/$F$8</f>
        <v>1996.3201252162451</v>
      </c>
      <c r="C79" s="8">
        <f t="shared" si="3"/>
        <v>4668.1497652195403</v>
      </c>
      <c r="D79" s="8">
        <f t="shared" si="3"/>
        <v>6151.4968284043161</v>
      </c>
    </row>
    <row r="80" spans="1:5" ht="17.399999999999999" x14ac:dyDescent="0.3">
      <c r="A80" s="56" t="s">
        <v>1</v>
      </c>
      <c r="B80" s="7"/>
      <c r="C80" s="2"/>
      <c r="D80" s="84"/>
    </row>
    <row r="81" spans="1:4" ht="14.4" x14ac:dyDescent="0.3">
      <c r="A81" s="85"/>
      <c r="B81" s="43" t="s">
        <v>14</v>
      </c>
      <c r="C81" s="43" t="s">
        <v>16</v>
      </c>
      <c r="D81" s="43" t="s">
        <v>15</v>
      </c>
    </row>
    <row r="82" spans="1:4" x14ac:dyDescent="0.25">
      <c r="A82" s="49" t="s">
        <v>38</v>
      </c>
      <c r="B82" s="8" t="s">
        <v>138</v>
      </c>
      <c r="C82" s="8" t="s">
        <v>139</v>
      </c>
      <c r="D82" s="8" t="s">
        <v>140</v>
      </c>
    </row>
    <row r="83" spans="1:4" x14ac:dyDescent="0.25">
      <c r="A83" s="49" t="s">
        <v>50</v>
      </c>
      <c r="B83" s="8">
        <f t="shared" ref="B83:D85" si="4">B66/$F$8</f>
        <v>5522.530686217975</v>
      </c>
      <c r="C83" s="8">
        <f t="shared" si="4"/>
        <v>6773.8503995386764</v>
      </c>
      <c r="D83" s="8">
        <f t="shared" si="4"/>
        <v>16708.699233874289</v>
      </c>
    </row>
    <row r="84" spans="1:4" x14ac:dyDescent="0.25">
      <c r="A84" s="49" t="s">
        <v>40</v>
      </c>
      <c r="B84" s="8" t="s">
        <v>137</v>
      </c>
      <c r="C84" s="8" t="s">
        <v>141</v>
      </c>
      <c r="D84" s="8" t="s">
        <v>142</v>
      </c>
    </row>
    <row r="85" spans="1:4" x14ac:dyDescent="0.25">
      <c r="A85" s="49" t="s">
        <v>50</v>
      </c>
      <c r="B85" s="8">
        <f t="shared" si="4"/>
        <v>9317.9915973309162</v>
      </c>
      <c r="C85" s="8">
        <f t="shared" si="4"/>
        <v>11231.510009061702</v>
      </c>
      <c r="D85" s="8">
        <f t="shared" si="4"/>
        <v>10274.75080319631</v>
      </c>
    </row>
    <row r="86" spans="1:4" x14ac:dyDescent="0.25">
      <c r="A86" s="35" t="s">
        <v>143</v>
      </c>
    </row>
    <row r="87" spans="1:4" x14ac:dyDescent="0.25">
      <c r="A87" s="21" t="s">
        <v>38</v>
      </c>
      <c r="B87" s="8">
        <f t="shared" ref="B87:D87" si="5">B70/$F$8</f>
        <v>448.36642227531058</v>
      </c>
      <c r="C87" s="8">
        <f t="shared" si="5"/>
        <v>3190.0074141197788</v>
      </c>
      <c r="D87" s="8">
        <f t="shared" si="5"/>
        <v>13532.227531098115</v>
      </c>
    </row>
    <row r="88" spans="1:4" x14ac:dyDescent="0.25">
      <c r="A88" s="21" t="s">
        <v>40</v>
      </c>
      <c r="B88" s="8">
        <f t="shared" ref="B88:D88" si="6">B71/$F$8</f>
        <v>7321.6714721146709</v>
      </c>
      <c r="C88" s="8">
        <f t="shared" si="6"/>
        <v>6563.3602438421622</v>
      </c>
      <c r="D88" s="8">
        <f t="shared" si="6"/>
        <v>4123.2539747919927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32DE8-BAD1-472D-A092-A22A63671BAF}">
  <sheetPr codeName="Sheet7"/>
  <dimension ref="A1:S76"/>
  <sheetViews>
    <sheetView tabSelected="1" topLeftCell="K1" zoomScale="70" zoomScaleNormal="70" workbookViewId="0">
      <selection activeCell="R7" sqref="R7"/>
    </sheetView>
  </sheetViews>
  <sheetFormatPr defaultRowHeight="14.4" x14ac:dyDescent="0.3"/>
  <cols>
    <col min="1" max="1" width="25.6640625" style="155" bestFit="1" customWidth="1"/>
    <col min="2" max="2" width="13.77734375" style="155" bestFit="1" customWidth="1"/>
    <col min="3" max="3" width="9" style="155" bestFit="1" customWidth="1"/>
    <col min="4" max="4" width="17.44140625" style="155" customWidth="1"/>
    <col min="5" max="5" width="23.33203125" style="155" customWidth="1"/>
    <col min="6" max="6" width="8.88671875" style="155"/>
    <col min="7" max="7" width="17" style="155" bestFit="1" customWidth="1"/>
    <col min="8" max="8" width="13.77734375" style="155" bestFit="1" customWidth="1"/>
    <col min="9" max="9" width="8.88671875" style="155"/>
    <col min="10" max="10" width="20" style="155" customWidth="1"/>
    <col min="11" max="11" width="17.5546875" style="155" customWidth="1"/>
    <col min="12" max="12" width="8.88671875" style="155"/>
    <col min="13" max="13" width="17" style="155" bestFit="1" customWidth="1"/>
    <col min="14" max="14" width="20.5546875" style="155" customWidth="1"/>
    <col min="15" max="15" width="8.88671875" style="155"/>
    <col min="16" max="16" width="17" style="155" bestFit="1" customWidth="1"/>
    <col min="17" max="17" width="22" style="155" customWidth="1"/>
    <col min="18" max="16384" width="8.88671875" style="155"/>
  </cols>
  <sheetData>
    <row r="1" spans="1:19" ht="17.399999999999999" x14ac:dyDescent="0.3">
      <c r="A1" s="154" t="s">
        <v>200</v>
      </c>
    </row>
    <row r="2" spans="1:19" x14ac:dyDescent="0.3">
      <c r="A2" s="209" t="s">
        <v>31</v>
      </c>
      <c r="B2" s="209"/>
      <c r="C2" s="156"/>
      <c r="D2" s="209" t="s">
        <v>30</v>
      </c>
      <c r="E2" s="209"/>
      <c r="F2" s="157"/>
      <c r="G2" s="212" t="s">
        <v>26</v>
      </c>
      <c r="H2" s="212"/>
      <c r="I2" s="158"/>
      <c r="J2" s="212" t="s">
        <v>27</v>
      </c>
      <c r="K2" s="212"/>
      <c r="L2" s="157"/>
      <c r="M2" s="210" t="s">
        <v>32</v>
      </c>
      <c r="N2" s="210"/>
      <c r="O2" s="159"/>
      <c r="P2" s="210" t="s">
        <v>29</v>
      </c>
      <c r="Q2" s="210"/>
    </row>
    <row r="3" spans="1:19" x14ac:dyDescent="0.3">
      <c r="A3" s="160" t="s">
        <v>22</v>
      </c>
      <c r="B3" s="148">
        <f>'2. Indirect Cost Savings'!C15</f>
        <v>294191</v>
      </c>
      <c r="C3" s="160"/>
      <c r="D3" s="160" t="s">
        <v>22</v>
      </c>
      <c r="E3" s="148">
        <f>B3</f>
        <v>294191</v>
      </c>
      <c r="G3" s="161" t="s">
        <v>22</v>
      </c>
      <c r="H3" s="149">
        <f>E3</f>
        <v>294191</v>
      </c>
      <c r="I3" s="161"/>
      <c r="J3" s="161" t="s">
        <v>22</v>
      </c>
      <c r="K3" s="149">
        <f>H3</f>
        <v>294191</v>
      </c>
      <c r="M3" s="162" t="s">
        <v>22</v>
      </c>
      <c r="N3" s="150">
        <f>K3</f>
        <v>294191</v>
      </c>
      <c r="O3" s="162"/>
      <c r="P3" s="162" t="s">
        <v>22</v>
      </c>
      <c r="Q3" s="150">
        <f>N3</f>
        <v>294191</v>
      </c>
    </row>
    <row r="4" spans="1:19" x14ac:dyDescent="0.3">
      <c r="A4" s="160" t="s">
        <v>23</v>
      </c>
      <c r="B4" s="160">
        <v>0.09</v>
      </c>
      <c r="C4" s="160"/>
      <c r="D4" s="160" t="s">
        <v>23</v>
      </c>
      <c r="E4" s="160">
        <f>B4</f>
        <v>0.09</v>
      </c>
      <c r="G4" s="161" t="s">
        <v>23</v>
      </c>
      <c r="H4" s="161">
        <f>B4</f>
        <v>0.09</v>
      </c>
      <c r="I4" s="161"/>
      <c r="J4" s="161" t="s">
        <v>23</v>
      </c>
      <c r="K4" s="161">
        <f>H4</f>
        <v>0.09</v>
      </c>
      <c r="M4" s="162" t="s">
        <v>23</v>
      </c>
      <c r="N4" s="162">
        <f>K4</f>
        <v>0.09</v>
      </c>
      <c r="O4" s="162"/>
      <c r="P4" s="162" t="s">
        <v>23</v>
      </c>
      <c r="Q4" s="162">
        <f>N4</f>
        <v>0.09</v>
      </c>
      <c r="S4" s="199"/>
    </row>
    <row r="5" spans="1:19" x14ac:dyDescent="0.3">
      <c r="A5" s="160" t="s">
        <v>21</v>
      </c>
      <c r="B5" s="160">
        <f>'2. Indirect Cost Savings'!C25</f>
        <v>15.363879999999998</v>
      </c>
      <c r="C5" s="160"/>
      <c r="D5" s="160" t="str">
        <f>A5</f>
        <v>DALY</v>
      </c>
      <c r="E5" s="160">
        <f>'2. Indirect Cost Savings'!C14</f>
        <v>26.540539999999996</v>
      </c>
      <c r="G5" s="161" t="str">
        <f>D5</f>
        <v>DALY</v>
      </c>
      <c r="H5" s="161">
        <f>'2. Indirect Cost Savings'!D25</f>
        <v>13.997399999999997</v>
      </c>
      <c r="I5" s="161"/>
      <c r="J5" s="161" t="str">
        <f>G5</f>
        <v>DALY</v>
      </c>
      <c r="K5" s="161">
        <f>'2. Indirect Cost Savings'!D14</f>
        <v>25.22</v>
      </c>
      <c r="M5" s="162" t="str">
        <f>G5</f>
        <v>DALY</v>
      </c>
      <c r="N5" s="163">
        <f>'2. Indirect Cost Savings'!B25</f>
        <v>6.7708799999999965</v>
      </c>
      <c r="O5" s="162"/>
      <c r="P5" s="162" t="str">
        <f>M5</f>
        <v>DALY</v>
      </c>
      <c r="Q5" s="163">
        <f>'2. Indirect Cost Savings'!B14</f>
        <v>19.349999999999994</v>
      </c>
    </row>
    <row r="6" spans="1:19" x14ac:dyDescent="0.3">
      <c r="A6" s="160"/>
      <c r="B6" s="160"/>
      <c r="C6" s="160"/>
      <c r="D6" s="160"/>
      <c r="E6" s="160"/>
      <c r="G6" s="161"/>
      <c r="H6" s="161"/>
      <c r="I6" s="161"/>
      <c r="J6" s="161"/>
      <c r="K6" s="161"/>
      <c r="M6" s="162"/>
      <c r="N6" s="162"/>
      <c r="O6" s="162"/>
      <c r="P6" s="162"/>
      <c r="Q6" s="162"/>
    </row>
    <row r="7" spans="1:19" x14ac:dyDescent="0.3">
      <c r="A7" s="160" t="s">
        <v>24</v>
      </c>
      <c r="B7" s="160" t="s">
        <v>25</v>
      </c>
      <c r="C7" s="160"/>
      <c r="D7" s="160" t="s">
        <v>24</v>
      </c>
      <c r="E7" s="160" t="s">
        <v>25</v>
      </c>
      <c r="G7" s="161" t="s">
        <v>24</v>
      </c>
      <c r="H7" s="161" t="s">
        <v>25</v>
      </c>
      <c r="I7" s="161"/>
      <c r="J7" s="161" t="s">
        <v>24</v>
      </c>
      <c r="K7" s="161" t="s">
        <v>25</v>
      </c>
      <c r="M7" s="162" t="s">
        <v>24</v>
      </c>
      <c r="N7" s="162" t="s">
        <v>25</v>
      </c>
      <c r="O7" s="162"/>
      <c r="P7" s="162" t="s">
        <v>24</v>
      </c>
      <c r="Q7" s="162" t="s">
        <v>25</v>
      </c>
    </row>
    <row r="8" spans="1:19" x14ac:dyDescent="0.3">
      <c r="A8" s="148">
        <v>1</v>
      </c>
      <c r="B8" s="152">
        <f xml:space="preserve"> $B$3/(1+$B$4)^A8</f>
        <v>269900</v>
      </c>
      <c r="C8" s="160"/>
      <c r="D8" s="148">
        <v>1</v>
      </c>
      <c r="E8" s="152">
        <f xml:space="preserve"> $B$3/(1+$B$4)^D8</f>
        <v>269900</v>
      </c>
      <c r="G8" s="149">
        <v>1</v>
      </c>
      <c r="H8" s="153">
        <f xml:space="preserve"> $B$3/(1+$B$4)^G8</f>
        <v>269900</v>
      </c>
      <c r="I8" s="161"/>
      <c r="J8" s="161">
        <v>1</v>
      </c>
      <c r="K8" s="153">
        <f xml:space="preserve"> $B$3/(1+$B$4)^J8</f>
        <v>269900</v>
      </c>
      <c r="L8" s="1"/>
      <c r="M8" s="150">
        <v>1</v>
      </c>
      <c r="N8" s="151">
        <f xml:space="preserve"> $B$3/(1+$B$4)^M8</f>
        <v>269900</v>
      </c>
      <c r="O8" s="162"/>
      <c r="P8" s="150">
        <v>1</v>
      </c>
      <c r="Q8" s="151">
        <f xml:space="preserve"> $B$3/(1+$B$4)^P8</f>
        <v>269900</v>
      </c>
    </row>
    <row r="9" spans="1:19" x14ac:dyDescent="0.3">
      <c r="A9" s="148">
        <v>2</v>
      </c>
      <c r="B9" s="152">
        <f t="shared" ref="B9:B23" si="0" xml:space="preserve"> $B$3/(1+$B$4)^A9</f>
        <v>247614.67889908253</v>
      </c>
      <c r="C9" s="160"/>
      <c r="D9" s="148">
        <v>2</v>
      </c>
      <c r="E9" s="152">
        <f t="shared" ref="E9:E34" si="1" xml:space="preserve"> $B$3/(1+$B$4)^D9</f>
        <v>247614.67889908253</v>
      </c>
      <c r="G9" s="149">
        <v>2</v>
      </c>
      <c r="H9" s="153">
        <f t="shared" ref="H9:H21" si="2" xml:space="preserve"> $B$3/(1+$B$4)^G9</f>
        <v>247614.67889908253</v>
      </c>
      <c r="I9" s="161"/>
      <c r="J9" s="161">
        <v>2</v>
      </c>
      <c r="K9" s="153">
        <f t="shared" ref="K9:K33" si="3" xml:space="preserve"> $B$3/(1+$B$4)^J9</f>
        <v>247614.67889908253</v>
      </c>
      <c r="L9" s="1"/>
      <c r="M9" s="150">
        <v>2</v>
      </c>
      <c r="N9" s="151">
        <f t="shared" ref="N9:N14" si="4" xml:space="preserve"> $B$3/(1+$B$4)^M9</f>
        <v>247614.67889908253</v>
      </c>
      <c r="O9" s="162"/>
      <c r="P9" s="150">
        <v>2</v>
      </c>
      <c r="Q9" s="151">
        <f t="shared" ref="Q9:Q27" si="5" xml:space="preserve"> $B$3/(1+$B$4)^P9</f>
        <v>247614.67889908253</v>
      </c>
    </row>
    <row r="10" spans="1:19" x14ac:dyDescent="0.3">
      <c r="A10" s="148">
        <v>3</v>
      </c>
      <c r="B10" s="152">
        <f t="shared" si="0"/>
        <v>227169.43018264452</v>
      </c>
      <c r="C10" s="160"/>
      <c r="D10" s="148">
        <v>3</v>
      </c>
      <c r="E10" s="152">
        <f t="shared" si="1"/>
        <v>227169.43018264452</v>
      </c>
      <c r="G10" s="149">
        <v>3</v>
      </c>
      <c r="H10" s="153">
        <f t="shared" si="2"/>
        <v>227169.43018264452</v>
      </c>
      <c r="I10" s="161"/>
      <c r="J10" s="161">
        <v>3</v>
      </c>
      <c r="K10" s="153">
        <f t="shared" si="3"/>
        <v>227169.43018264452</v>
      </c>
      <c r="L10" s="1"/>
      <c r="M10" s="150">
        <v>3</v>
      </c>
      <c r="N10" s="151">
        <f t="shared" si="4"/>
        <v>227169.43018264452</v>
      </c>
      <c r="O10" s="162"/>
      <c r="P10" s="150">
        <v>3</v>
      </c>
      <c r="Q10" s="151">
        <f t="shared" si="5"/>
        <v>227169.43018264452</v>
      </c>
    </row>
    <row r="11" spans="1:19" x14ac:dyDescent="0.3">
      <c r="A11" s="148">
        <v>4</v>
      </c>
      <c r="B11" s="152">
        <f t="shared" si="0"/>
        <v>208412.3212684812</v>
      </c>
      <c r="C11" s="160"/>
      <c r="D11" s="148">
        <v>4</v>
      </c>
      <c r="E11" s="152">
        <f t="shared" si="1"/>
        <v>208412.3212684812</v>
      </c>
      <c r="G11" s="149">
        <v>4</v>
      </c>
      <c r="H11" s="153">
        <f t="shared" si="2"/>
        <v>208412.3212684812</v>
      </c>
      <c r="I11" s="161"/>
      <c r="J11" s="161">
        <v>4</v>
      </c>
      <c r="K11" s="153">
        <f t="shared" si="3"/>
        <v>208412.3212684812</v>
      </c>
      <c r="L11" s="1"/>
      <c r="M11" s="150">
        <v>4</v>
      </c>
      <c r="N11" s="151">
        <f t="shared" si="4"/>
        <v>208412.3212684812</v>
      </c>
      <c r="O11" s="162"/>
      <c r="P11" s="150">
        <v>4</v>
      </c>
      <c r="Q11" s="151">
        <f t="shared" si="5"/>
        <v>208412.3212684812</v>
      </c>
    </row>
    <row r="12" spans="1:19" x14ac:dyDescent="0.3">
      <c r="A12" s="148">
        <v>5</v>
      </c>
      <c r="B12" s="152">
        <f t="shared" si="0"/>
        <v>191203.96446649649</v>
      </c>
      <c r="C12" s="160"/>
      <c r="D12" s="148">
        <v>5</v>
      </c>
      <c r="E12" s="152">
        <f t="shared" si="1"/>
        <v>191203.96446649649</v>
      </c>
      <c r="G12" s="149">
        <v>5</v>
      </c>
      <c r="H12" s="153">
        <f t="shared" si="2"/>
        <v>191203.96446649649</v>
      </c>
      <c r="I12" s="161"/>
      <c r="J12" s="161">
        <v>5</v>
      </c>
      <c r="K12" s="153">
        <f t="shared" si="3"/>
        <v>191203.96446649649</v>
      </c>
      <c r="L12" s="1"/>
      <c r="M12" s="150">
        <v>5</v>
      </c>
      <c r="N12" s="151">
        <f t="shared" si="4"/>
        <v>191203.96446649649</v>
      </c>
      <c r="O12" s="162"/>
      <c r="P12" s="150">
        <v>5</v>
      </c>
      <c r="Q12" s="151">
        <f t="shared" si="5"/>
        <v>191203.96446649649</v>
      </c>
    </row>
    <row r="13" spans="1:19" x14ac:dyDescent="0.3">
      <c r="A13" s="148">
        <v>6</v>
      </c>
      <c r="B13" s="152">
        <f t="shared" si="0"/>
        <v>175416.48116192338</v>
      </c>
      <c r="C13" s="160"/>
      <c r="D13" s="148">
        <v>6</v>
      </c>
      <c r="E13" s="152">
        <f t="shared" si="1"/>
        <v>175416.48116192338</v>
      </c>
      <c r="G13" s="149">
        <v>6</v>
      </c>
      <c r="H13" s="153">
        <f t="shared" si="2"/>
        <v>175416.48116192338</v>
      </c>
      <c r="I13" s="161"/>
      <c r="J13" s="161">
        <v>6</v>
      </c>
      <c r="K13" s="153">
        <f t="shared" si="3"/>
        <v>175416.48116192338</v>
      </c>
      <c r="L13" s="1"/>
      <c r="M13" s="150">
        <v>6</v>
      </c>
      <c r="N13" s="151">
        <f t="shared" si="4"/>
        <v>175416.48116192338</v>
      </c>
      <c r="O13" s="162"/>
      <c r="P13" s="150">
        <v>6</v>
      </c>
      <c r="Q13" s="151">
        <f t="shared" si="5"/>
        <v>175416.48116192338</v>
      </c>
    </row>
    <row r="14" spans="1:19" x14ac:dyDescent="0.3">
      <c r="A14" s="148">
        <v>7</v>
      </c>
      <c r="B14" s="152">
        <f t="shared" si="0"/>
        <v>160932.55152470036</v>
      </c>
      <c r="C14" s="160"/>
      <c r="D14" s="148">
        <v>7</v>
      </c>
      <c r="E14" s="152">
        <f t="shared" si="1"/>
        <v>160932.55152470036</v>
      </c>
      <c r="G14" s="149">
        <v>7</v>
      </c>
      <c r="H14" s="153">
        <f t="shared" si="2"/>
        <v>160932.55152470036</v>
      </c>
      <c r="I14" s="161"/>
      <c r="J14" s="161">
        <v>7</v>
      </c>
      <c r="K14" s="153">
        <f t="shared" si="3"/>
        <v>160932.55152470036</v>
      </c>
      <c r="L14" s="1"/>
      <c r="M14" s="162">
        <f>N5</f>
        <v>6.7708799999999965</v>
      </c>
      <c r="N14" s="150">
        <f t="shared" si="4"/>
        <v>164141.74877966326</v>
      </c>
      <c r="O14" s="162"/>
      <c r="P14" s="150">
        <v>7</v>
      </c>
      <c r="Q14" s="151">
        <f t="shared" si="5"/>
        <v>160932.55152470036</v>
      </c>
    </row>
    <row r="15" spans="1:19" x14ac:dyDescent="0.3">
      <c r="A15" s="148">
        <v>8</v>
      </c>
      <c r="B15" s="152">
        <f t="shared" si="0"/>
        <v>147644.54268321133</v>
      </c>
      <c r="C15" s="160"/>
      <c r="D15" s="148">
        <v>8</v>
      </c>
      <c r="E15" s="152">
        <f t="shared" si="1"/>
        <v>147644.54268321133</v>
      </c>
      <c r="G15" s="149">
        <v>8</v>
      </c>
      <c r="H15" s="153">
        <f t="shared" si="2"/>
        <v>147644.54268321133</v>
      </c>
      <c r="I15" s="161"/>
      <c r="J15" s="161">
        <v>8</v>
      </c>
      <c r="K15" s="153">
        <f t="shared" si="3"/>
        <v>147644.54268321133</v>
      </c>
      <c r="L15" s="1"/>
      <c r="M15" s="162" t="s">
        <v>28</v>
      </c>
      <c r="N15" s="150">
        <f>SUM(N8:N14)</f>
        <v>1483858.6247582913</v>
      </c>
      <c r="O15" s="162"/>
      <c r="P15" s="150">
        <v>8</v>
      </c>
      <c r="Q15" s="151">
        <f t="shared" si="5"/>
        <v>147644.54268321133</v>
      </c>
    </row>
    <row r="16" spans="1:19" x14ac:dyDescent="0.3">
      <c r="A16" s="148">
        <v>9</v>
      </c>
      <c r="B16" s="152">
        <f t="shared" si="0"/>
        <v>135453.70888368011</v>
      </c>
      <c r="C16" s="160"/>
      <c r="D16" s="148">
        <v>9</v>
      </c>
      <c r="E16" s="152">
        <f t="shared" si="1"/>
        <v>135453.70888368011</v>
      </c>
      <c r="G16" s="149">
        <v>9</v>
      </c>
      <c r="H16" s="153">
        <f t="shared" si="2"/>
        <v>135453.70888368011</v>
      </c>
      <c r="I16" s="161"/>
      <c r="J16" s="161">
        <v>9</v>
      </c>
      <c r="K16" s="153">
        <f t="shared" si="3"/>
        <v>135453.70888368011</v>
      </c>
      <c r="L16" s="1"/>
      <c r="M16" s="162"/>
      <c r="N16" s="150"/>
      <c r="O16" s="162"/>
      <c r="P16" s="150">
        <v>9</v>
      </c>
      <c r="Q16" s="151">
        <f t="shared" si="5"/>
        <v>135453.70888368011</v>
      </c>
    </row>
    <row r="17" spans="1:17" x14ac:dyDescent="0.3">
      <c r="A17" s="148">
        <v>10</v>
      </c>
      <c r="B17" s="152">
        <f xml:space="preserve"> $B$3/(1+$B$4)^A17</f>
        <v>124269.45769144961</v>
      </c>
      <c r="C17" s="160"/>
      <c r="D17" s="148">
        <v>10</v>
      </c>
      <c r="E17" s="152">
        <f t="shared" si="1"/>
        <v>124269.45769144961</v>
      </c>
      <c r="G17" s="149">
        <v>10</v>
      </c>
      <c r="H17" s="153">
        <f t="shared" si="2"/>
        <v>124269.45769144961</v>
      </c>
      <c r="I17" s="161"/>
      <c r="J17" s="161">
        <v>10</v>
      </c>
      <c r="K17" s="153">
        <f t="shared" si="3"/>
        <v>124269.45769144961</v>
      </c>
      <c r="L17" s="1"/>
      <c r="M17" s="162"/>
      <c r="N17" s="150"/>
      <c r="O17" s="162"/>
      <c r="P17" s="150">
        <v>10</v>
      </c>
      <c r="Q17" s="151">
        <f t="shared" si="5"/>
        <v>124269.45769144961</v>
      </c>
    </row>
    <row r="18" spans="1:17" x14ac:dyDescent="0.3">
      <c r="A18" s="148">
        <v>11</v>
      </c>
      <c r="B18" s="152">
        <f t="shared" si="0"/>
        <v>114008.67678114644</v>
      </c>
      <c r="C18" s="160"/>
      <c r="D18" s="148">
        <v>11</v>
      </c>
      <c r="E18" s="152">
        <f t="shared" si="1"/>
        <v>114008.67678114644</v>
      </c>
      <c r="G18" s="149">
        <v>11</v>
      </c>
      <c r="H18" s="153">
        <f t="shared" si="2"/>
        <v>114008.67678114644</v>
      </c>
      <c r="I18" s="161"/>
      <c r="J18" s="161">
        <v>11</v>
      </c>
      <c r="K18" s="153">
        <f t="shared" si="3"/>
        <v>114008.67678114644</v>
      </c>
      <c r="L18" s="1"/>
      <c r="M18" s="162"/>
      <c r="N18" s="162"/>
      <c r="O18" s="162"/>
      <c r="P18" s="150">
        <v>11</v>
      </c>
      <c r="Q18" s="151">
        <f t="shared" si="5"/>
        <v>114008.67678114644</v>
      </c>
    </row>
    <row r="19" spans="1:17" x14ac:dyDescent="0.3">
      <c r="A19" s="148">
        <v>12</v>
      </c>
      <c r="B19" s="152">
        <f t="shared" si="0"/>
        <v>104595.1163129784</v>
      </c>
      <c r="C19" s="160"/>
      <c r="D19" s="148">
        <v>12</v>
      </c>
      <c r="E19" s="152">
        <f t="shared" si="1"/>
        <v>104595.1163129784</v>
      </c>
      <c r="G19" s="149">
        <v>12</v>
      </c>
      <c r="H19" s="153">
        <f t="shared" si="2"/>
        <v>104595.1163129784</v>
      </c>
      <c r="I19" s="161"/>
      <c r="J19" s="161">
        <v>12</v>
      </c>
      <c r="K19" s="153">
        <f t="shared" si="3"/>
        <v>104595.1163129784</v>
      </c>
      <c r="L19" s="1"/>
      <c r="M19" s="162"/>
      <c r="N19" s="162"/>
      <c r="O19" s="162"/>
      <c r="P19" s="150">
        <v>12</v>
      </c>
      <c r="Q19" s="151">
        <f t="shared" si="5"/>
        <v>104595.1163129784</v>
      </c>
    </row>
    <row r="20" spans="1:17" x14ac:dyDescent="0.3">
      <c r="A20" s="148">
        <v>13</v>
      </c>
      <c r="B20" s="152">
        <f t="shared" si="0"/>
        <v>95958.822305484748</v>
      </c>
      <c r="C20" s="160"/>
      <c r="D20" s="148">
        <v>13</v>
      </c>
      <c r="E20" s="152">
        <f t="shared" si="1"/>
        <v>95958.822305484748</v>
      </c>
      <c r="G20" s="149">
        <v>13</v>
      </c>
      <c r="H20" s="153">
        <f t="shared" si="2"/>
        <v>95958.822305484748</v>
      </c>
      <c r="I20" s="161"/>
      <c r="J20" s="161">
        <v>13</v>
      </c>
      <c r="K20" s="153">
        <f t="shared" si="3"/>
        <v>95958.822305484748</v>
      </c>
      <c r="L20" s="1"/>
      <c r="M20" s="162"/>
      <c r="N20" s="162"/>
      <c r="O20" s="162"/>
      <c r="P20" s="150">
        <v>13</v>
      </c>
      <c r="Q20" s="151">
        <f t="shared" si="5"/>
        <v>95958.822305484748</v>
      </c>
    </row>
    <row r="21" spans="1:17" x14ac:dyDescent="0.3">
      <c r="A21" s="148">
        <v>14</v>
      </c>
      <c r="B21" s="152">
        <f t="shared" si="0"/>
        <v>88035.616794022702</v>
      </c>
      <c r="C21" s="160"/>
      <c r="D21" s="148">
        <v>14</v>
      </c>
      <c r="E21" s="152">
        <f t="shared" si="1"/>
        <v>88035.616794022702</v>
      </c>
      <c r="G21" s="161">
        <f>H5</f>
        <v>13.997399999999997</v>
      </c>
      <c r="H21" s="153">
        <f t="shared" si="2"/>
        <v>88055.344441318739</v>
      </c>
      <c r="I21" s="161"/>
      <c r="J21" s="161">
        <v>14</v>
      </c>
      <c r="K21" s="153">
        <f t="shared" si="3"/>
        <v>88035.616794022702</v>
      </c>
      <c r="L21" s="1"/>
      <c r="M21" s="162"/>
      <c r="N21" s="162"/>
      <c r="O21" s="162"/>
      <c r="P21" s="150">
        <v>14</v>
      </c>
      <c r="Q21" s="151">
        <f t="shared" si="5"/>
        <v>88035.616794022702</v>
      </c>
    </row>
    <row r="22" spans="1:17" x14ac:dyDescent="0.3">
      <c r="A22" s="148">
        <v>15</v>
      </c>
      <c r="B22" s="152">
        <f t="shared" si="0"/>
        <v>80766.620911947422</v>
      </c>
      <c r="C22" s="160"/>
      <c r="D22" s="148">
        <v>15</v>
      </c>
      <c r="E22" s="152">
        <f t="shared" si="1"/>
        <v>80766.620911947422</v>
      </c>
      <c r="G22" s="161" t="s">
        <v>28</v>
      </c>
      <c r="H22" s="149">
        <f>SUM(H8:H21)</f>
        <v>2290635.0966025977</v>
      </c>
      <c r="I22" s="161"/>
      <c r="J22" s="161">
        <v>15</v>
      </c>
      <c r="K22" s="153">
        <f t="shared" si="3"/>
        <v>80766.620911947422</v>
      </c>
      <c r="L22" s="1"/>
      <c r="M22" s="162"/>
      <c r="N22" s="162"/>
      <c r="O22" s="162"/>
      <c r="P22" s="150">
        <v>15</v>
      </c>
      <c r="Q22" s="151">
        <f t="shared" si="5"/>
        <v>80766.620911947422</v>
      </c>
    </row>
    <row r="23" spans="1:17" x14ac:dyDescent="0.3">
      <c r="A23" s="155">
        <f>B5</f>
        <v>15.363879999999998</v>
      </c>
      <c r="B23" s="152">
        <f t="shared" si="0"/>
        <v>78273.212636500175</v>
      </c>
      <c r="C23" s="160"/>
      <c r="D23" s="148">
        <v>16</v>
      </c>
      <c r="E23" s="152">
        <f t="shared" si="1"/>
        <v>74097.817350410478</v>
      </c>
      <c r="G23" s="161"/>
      <c r="H23" s="149"/>
      <c r="I23" s="161"/>
      <c r="J23" s="161">
        <v>16</v>
      </c>
      <c r="K23" s="153">
        <f t="shared" si="3"/>
        <v>74097.817350410478</v>
      </c>
      <c r="L23" s="1"/>
      <c r="M23" s="162"/>
      <c r="N23" s="162"/>
      <c r="O23" s="162"/>
      <c r="P23" s="150">
        <v>16</v>
      </c>
      <c r="Q23" s="151">
        <f t="shared" si="5"/>
        <v>74097.817350410478</v>
      </c>
    </row>
    <row r="24" spans="1:17" x14ac:dyDescent="0.3">
      <c r="A24" s="160" t="s">
        <v>28</v>
      </c>
      <c r="B24" s="148">
        <f>SUM(B8:B23)</f>
        <v>2449655.2025037492</v>
      </c>
      <c r="C24" s="160"/>
      <c r="D24" s="148">
        <v>17</v>
      </c>
      <c r="E24" s="152">
        <f t="shared" si="1"/>
        <v>67979.648945330715</v>
      </c>
      <c r="G24" s="161"/>
      <c r="H24" s="149"/>
      <c r="I24" s="161"/>
      <c r="J24" s="161">
        <v>17</v>
      </c>
      <c r="K24" s="153">
        <f t="shared" si="3"/>
        <v>67979.648945330715</v>
      </c>
      <c r="L24" s="1"/>
      <c r="M24" s="162"/>
      <c r="N24" s="162"/>
      <c r="O24" s="162"/>
      <c r="P24" s="150">
        <v>17</v>
      </c>
      <c r="Q24" s="151">
        <f t="shared" si="5"/>
        <v>67979.648945330715</v>
      </c>
    </row>
    <row r="25" spans="1:17" x14ac:dyDescent="0.3">
      <c r="A25" s="160"/>
      <c r="B25" s="148"/>
      <c r="C25" s="160"/>
      <c r="D25" s="148">
        <v>18</v>
      </c>
      <c r="E25" s="152">
        <f t="shared" si="1"/>
        <v>62366.650408560279</v>
      </c>
      <c r="G25" s="161"/>
      <c r="H25" s="149"/>
      <c r="I25" s="161"/>
      <c r="J25" s="161">
        <v>18</v>
      </c>
      <c r="K25" s="153">
        <f t="shared" si="3"/>
        <v>62366.650408560279</v>
      </c>
      <c r="L25" s="1"/>
      <c r="M25" s="162"/>
      <c r="N25" s="162"/>
      <c r="O25" s="162"/>
      <c r="P25" s="150">
        <v>18</v>
      </c>
      <c r="Q25" s="151">
        <f t="shared" si="5"/>
        <v>62366.650408560279</v>
      </c>
    </row>
    <row r="26" spans="1:17" x14ac:dyDescent="0.3">
      <c r="A26" s="160"/>
      <c r="B26" s="148"/>
      <c r="C26" s="160"/>
      <c r="D26" s="148">
        <v>19</v>
      </c>
      <c r="E26" s="152">
        <f t="shared" si="1"/>
        <v>57217.110466569058</v>
      </c>
      <c r="G26" s="161"/>
      <c r="H26" s="161"/>
      <c r="I26" s="161"/>
      <c r="J26" s="161">
        <v>19</v>
      </c>
      <c r="K26" s="153">
        <f t="shared" si="3"/>
        <v>57217.110466569058</v>
      </c>
      <c r="L26" s="1"/>
      <c r="M26" s="162"/>
      <c r="N26" s="162"/>
      <c r="O26" s="162"/>
      <c r="P26" s="150">
        <v>19</v>
      </c>
      <c r="Q26" s="151">
        <f t="shared" si="5"/>
        <v>57217.110466569058</v>
      </c>
    </row>
    <row r="27" spans="1:17" x14ac:dyDescent="0.3">
      <c r="A27" s="160"/>
      <c r="B27" s="160"/>
      <c r="C27" s="160"/>
      <c r="D27" s="148">
        <v>20</v>
      </c>
      <c r="E27" s="152">
        <f t="shared" si="1"/>
        <v>52492.76189593492</v>
      </c>
      <c r="G27" s="161"/>
      <c r="H27" s="161"/>
      <c r="I27" s="161"/>
      <c r="J27" s="161">
        <v>20</v>
      </c>
      <c r="K27" s="153">
        <f t="shared" si="3"/>
        <v>52492.76189593492</v>
      </c>
      <c r="L27" s="1"/>
      <c r="M27" s="162"/>
      <c r="N27" s="162"/>
      <c r="O27" s="162"/>
      <c r="P27" s="162">
        <f>Q5</f>
        <v>19.349999999999994</v>
      </c>
      <c r="Q27" s="151">
        <f t="shared" si="5"/>
        <v>55517.084044149386</v>
      </c>
    </row>
    <row r="28" spans="1:17" x14ac:dyDescent="0.3">
      <c r="A28" s="160"/>
      <c r="B28" s="160"/>
      <c r="C28" s="160"/>
      <c r="D28" s="148">
        <v>21</v>
      </c>
      <c r="E28" s="152">
        <f t="shared" si="1"/>
        <v>48158.497152233867</v>
      </c>
      <c r="G28" s="161"/>
      <c r="H28" s="161"/>
      <c r="I28" s="161"/>
      <c r="J28" s="161">
        <v>21</v>
      </c>
      <c r="K28" s="153">
        <f t="shared" si="3"/>
        <v>48158.497152233867</v>
      </c>
      <c r="L28" s="1"/>
      <c r="M28" s="162"/>
      <c r="N28" s="162"/>
      <c r="O28" s="162"/>
      <c r="P28" s="162" t="s">
        <v>28</v>
      </c>
      <c r="Q28" s="150">
        <f>SUM(Q8:Q27)</f>
        <v>2688560.3010822693</v>
      </c>
    </row>
    <row r="29" spans="1:17" x14ac:dyDescent="0.3">
      <c r="A29" s="160"/>
      <c r="B29" s="160"/>
      <c r="C29" s="160"/>
      <c r="D29" s="148">
        <v>22</v>
      </c>
      <c r="E29" s="152">
        <f t="shared" si="1"/>
        <v>44182.107479113634</v>
      </c>
      <c r="G29" s="161"/>
      <c r="H29" s="161"/>
      <c r="I29" s="161"/>
      <c r="J29" s="161">
        <v>22</v>
      </c>
      <c r="K29" s="153">
        <f t="shared" si="3"/>
        <v>44182.107479113634</v>
      </c>
      <c r="L29" s="1"/>
      <c r="M29" s="162"/>
      <c r="N29" s="162"/>
      <c r="O29" s="162"/>
    </row>
    <row r="30" spans="1:17" x14ac:dyDescent="0.3">
      <c r="A30" s="160"/>
      <c r="B30" s="160"/>
      <c r="C30" s="160"/>
      <c r="D30" s="148">
        <v>23</v>
      </c>
      <c r="E30" s="152">
        <f t="shared" si="1"/>
        <v>40534.043558819852</v>
      </c>
      <c r="G30" s="161"/>
      <c r="H30" s="161"/>
      <c r="I30" s="161"/>
      <c r="J30" s="161">
        <v>23</v>
      </c>
      <c r="K30" s="153">
        <f t="shared" si="3"/>
        <v>40534.043558819852</v>
      </c>
      <c r="L30" s="1"/>
      <c r="M30" s="162"/>
      <c r="N30" s="162"/>
      <c r="O30" s="162"/>
      <c r="P30" s="162"/>
      <c r="Q30" s="163"/>
    </row>
    <row r="31" spans="1:17" x14ac:dyDescent="0.3">
      <c r="A31" s="160"/>
      <c r="B31" s="160"/>
      <c r="C31" s="160"/>
      <c r="D31" s="148">
        <v>24</v>
      </c>
      <c r="E31" s="152">
        <f t="shared" si="1"/>
        <v>37187.195925522792</v>
      </c>
      <c r="G31" s="161"/>
      <c r="H31" s="161"/>
      <c r="I31" s="161"/>
      <c r="J31" s="161">
        <v>24</v>
      </c>
      <c r="K31" s="153">
        <f t="shared" si="3"/>
        <v>37187.195925522792</v>
      </c>
      <c r="L31" s="1"/>
      <c r="M31" s="162"/>
      <c r="N31" s="162"/>
      <c r="O31" s="162"/>
      <c r="P31" s="162"/>
      <c r="Q31" s="163"/>
    </row>
    <row r="32" spans="1:17" x14ac:dyDescent="0.3">
      <c r="A32" s="160"/>
      <c r="B32" s="160"/>
      <c r="C32" s="160"/>
      <c r="D32" s="148">
        <v>25</v>
      </c>
      <c r="E32" s="152">
        <f t="shared" si="1"/>
        <v>34116.693509653938</v>
      </c>
      <c r="G32" s="161"/>
      <c r="H32" s="161"/>
      <c r="I32" s="161"/>
      <c r="J32" s="161">
        <v>25</v>
      </c>
      <c r="K32" s="153">
        <f t="shared" si="3"/>
        <v>34116.693509653938</v>
      </c>
      <c r="L32" s="1"/>
      <c r="M32" s="162"/>
      <c r="N32" s="162"/>
      <c r="O32" s="162"/>
      <c r="P32" s="162"/>
      <c r="Q32" s="162"/>
    </row>
    <row r="33" spans="1:18" x14ac:dyDescent="0.3">
      <c r="A33" s="160"/>
      <c r="B33" s="160"/>
      <c r="C33" s="160"/>
      <c r="D33" s="160">
        <v>26</v>
      </c>
      <c r="E33" s="152">
        <f t="shared" si="1"/>
        <v>31299.718816196269</v>
      </c>
      <c r="G33" s="161"/>
      <c r="H33" s="161"/>
      <c r="I33" s="161"/>
      <c r="J33" s="155">
        <f>K5</f>
        <v>25.22</v>
      </c>
      <c r="K33" s="153">
        <f t="shared" si="3"/>
        <v>33475.964947132779</v>
      </c>
      <c r="L33" s="1"/>
      <c r="M33" s="162"/>
      <c r="N33" s="162"/>
      <c r="O33" s="162"/>
      <c r="P33" s="162"/>
      <c r="Q33" s="162"/>
    </row>
    <row r="34" spans="1:18" x14ac:dyDescent="0.3">
      <c r="A34" s="160"/>
      <c r="B34" s="160"/>
      <c r="C34" s="160"/>
      <c r="D34" s="155">
        <f>E5</f>
        <v>26.540539999999996</v>
      </c>
      <c r="E34" s="152">
        <f t="shared" si="1"/>
        <v>29875.137778435295</v>
      </c>
      <c r="G34" s="161"/>
      <c r="H34" s="161"/>
      <c r="I34" s="161"/>
      <c r="J34" s="161" t="s">
        <v>28</v>
      </c>
      <c r="K34" s="149">
        <f>SUM(K8:K33)</f>
        <v>2923190.4815065316</v>
      </c>
      <c r="M34" s="162"/>
      <c r="N34" s="162"/>
      <c r="O34" s="162"/>
      <c r="P34" s="162"/>
      <c r="Q34" s="162"/>
    </row>
    <row r="35" spans="1:18" x14ac:dyDescent="0.3">
      <c r="A35" s="160"/>
      <c r="B35" s="160"/>
      <c r="C35" s="160"/>
      <c r="D35" s="160" t="s">
        <v>28</v>
      </c>
      <c r="E35" s="148">
        <f>SUM(E8:E34)</f>
        <v>2950889.3731540302</v>
      </c>
      <c r="G35" s="161"/>
      <c r="H35" s="161"/>
      <c r="I35" s="161"/>
      <c r="J35" s="161"/>
      <c r="K35" s="161"/>
      <c r="M35" s="162"/>
      <c r="N35" s="162"/>
      <c r="O35" s="162"/>
      <c r="P35" s="162"/>
      <c r="Q35" s="162"/>
    </row>
    <row r="36" spans="1:18" x14ac:dyDescent="0.3">
      <c r="A36" s="208" t="s">
        <v>36</v>
      </c>
      <c r="B36" s="208"/>
      <c r="C36" s="208"/>
      <c r="D36" s="208"/>
      <c r="E36" s="148">
        <f>E35-B24</f>
        <v>501234.17065028101</v>
      </c>
      <c r="G36" s="213" t="str">
        <f>A36</f>
        <v>Difference</v>
      </c>
      <c r="H36" s="213"/>
      <c r="I36" s="213"/>
      <c r="J36" s="213"/>
      <c r="K36" s="149">
        <f>K34-H22</f>
        <v>632555.38490393385</v>
      </c>
      <c r="M36" s="211" t="str">
        <f>G36</f>
        <v>Difference</v>
      </c>
      <c r="N36" s="211"/>
      <c r="O36" s="211"/>
      <c r="P36" s="211"/>
      <c r="Q36" s="150">
        <f>Q28-N15</f>
        <v>1204701.676323978</v>
      </c>
    </row>
    <row r="39" spans="1:18" ht="17.399999999999999" x14ac:dyDescent="0.3">
      <c r="A39" s="154" t="s">
        <v>201</v>
      </c>
      <c r="B39" s="155" t="s">
        <v>203</v>
      </c>
      <c r="C39" s="155">
        <v>121.39</v>
      </c>
    </row>
    <row r="40" spans="1:18" x14ac:dyDescent="0.3">
      <c r="A40" s="209" t="s">
        <v>31</v>
      </c>
      <c r="B40" s="209"/>
      <c r="C40" s="156"/>
      <c r="D40" s="209" t="s">
        <v>30</v>
      </c>
      <c r="E40" s="209"/>
      <c r="F40" s="157"/>
      <c r="G40" s="161" t="s">
        <v>26</v>
      </c>
      <c r="H40" s="161"/>
      <c r="I40" s="161"/>
      <c r="J40" s="161" t="s">
        <v>27</v>
      </c>
      <c r="K40" s="161"/>
      <c r="L40" s="157"/>
      <c r="M40" s="162" t="s">
        <v>32</v>
      </c>
      <c r="N40" s="162"/>
      <c r="O40" s="162"/>
      <c r="P40" s="162" t="s">
        <v>29</v>
      </c>
      <c r="Q40" s="162"/>
    </row>
    <row r="41" spans="1:18" x14ac:dyDescent="0.3">
      <c r="A41" s="160" t="s">
        <v>22</v>
      </c>
      <c r="B41" s="148">
        <f>B3/$C$39</f>
        <v>2423.5192355218715</v>
      </c>
      <c r="C41" s="160"/>
      <c r="D41" s="160" t="s">
        <v>22</v>
      </c>
      <c r="E41" s="148">
        <f>B41</f>
        <v>2423.5192355218715</v>
      </c>
      <c r="F41" s="1"/>
      <c r="G41" s="149" t="s">
        <v>22</v>
      </c>
      <c r="H41" s="149">
        <f>E41</f>
        <v>2423.5192355218715</v>
      </c>
      <c r="I41" s="149"/>
      <c r="J41" s="149" t="s">
        <v>22</v>
      </c>
      <c r="K41" s="149">
        <f>H41</f>
        <v>2423.5192355218715</v>
      </c>
      <c r="L41" s="1"/>
      <c r="M41" s="150" t="s">
        <v>22</v>
      </c>
      <c r="N41" s="150">
        <f>K41</f>
        <v>2423.5192355218715</v>
      </c>
      <c r="O41" s="150"/>
      <c r="P41" s="150" t="s">
        <v>22</v>
      </c>
      <c r="Q41" s="150">
        <f>N41</f>
        <v>2423.5192355218715</v>
      </c>
    </row>
    <row r="42" spans="1:18" x14ac:dyDescent="0.3">
      <c r="A42" s="160" t="s">
        <v>23</v>
      </c>
      <c r="B42" s="160">
        <f>B4</f>
        <v>0.09</v>
      </c>
      <c r="C42" s="160"/>
      <c r="D42" s="160" t="s">
        <v>23</v>
      </c>
      <c r="E42" s="160">
        <f>B42</f>
        <v>0.09</v>
      </c>
      <c r="G42" s="161" t="s">
        <v>23</v>
      </c>
      <c r="H42" s="161">
        <f>B42</f>
        <v>0.09</v>
      </c>
      <c r="I42" s="161"/>
      <c r="J42" s="161" t="s">
        <v>23</v>
      </c>
      <c r="K42" s="161">
        <f>H42</f>
        <v>0.09</v>
      </c>
      <c r="M42" s="162" t="s">
        <v>23</v>
      </c>
      <c r="N42" s="162">
        <f>K42</f>
        <v>0.09</v>
      </c>
      <c r="O42" s="162"/>
      <c r="P42" s="162" t="s">
        <v>23</v>
      </c>
      <c r="Q42" s="162">
        <f>N42</f>
        <v>0.09</v>
      </c>
    </row>
    <row r="43" spans="1:18" x14ac:dyDescent="0.3">
      <c r="A43" s="160" t="s">
        <v>21</v>
      </c>
      <c r="B43" s="160">
        <f>B5</f>
        <v>15.363879999999998</v>
      </c>
      <c r="C43" s="160"/>
      <c r="D43" s="160" t="str">
        <f>A43</f>
        <v>DALY</v>
      </c>
      <c r="E43" s="160">
        <f>E5</f>
        <v>26.540539999999996</v>
      </c>
      <c r="G43" s="161" t="str">
        <f>D43</f>
        <v>DALY</v>
      </c>
      <c r="H43" s="161">
        <f>H5</f>
        <v>13.997399999999997</v>
      </c>
      <c r="I43" s="161"/>
      <c r="J43" s="161" t="str">
        <f>G43</f>
        <v>DALY</v>
      </c>
      <c r="K43" s="161">
        <f>K5</f>
        <v>25.22</v>
      </c>
      <c r="M43" s="162" t="str">
        <f>G43</f>
        <v>DALY</v>
      </c>
      <c r="N43" s="162">
        <f>N5</f>
        <v>6.7708799999999965</v>
      </c>
      <c r="O43" s="162"/>
      <c r="P43" s="162" t="str">
        <f>M43</f>
        <v>DALY</v>
      </c>
      <c r="Q43" s="162">
        <f>Q5</f>
        <v>19.349999999999994</v>
      </c>
    </row>
    <row r="44" spans="1:18" x14ac:dyDescent="0.3">
      <c r="A44" s="160"/>
      <c r="B44" s="160"/>
      <c r="C44" s="160"/>
      <c r="D44" s="160"/>
      <c r="E44" s="160"/>
      <c r="G44" s="161"/>
      <c r="H44" s="161"/>
      <c r="I44" s="161"/>
      <c r="J44" s="161"/>
      <c r="K44" s="161"/>
      <c r="M44" s="162"/>
      <c r="N44" s="162"/>
      <c r="O44" s="162"/>
      <c r="P44" s="162"/>
      <c r="Q44" s="162"/>
    </row>
    <row r="45" spans="1:18" x14ac:dyDescent="0.3">
      <c r="A45" s="160" t="s">
        <v>24</v>
      </c>
      <c r="B45" s="160" t="s">
        <v>25</v>
      </c>
      <c r="C45" s="160"/>
      <c r="D45" s="160" t="s">
        <v>24</v>
      </c>
      <c r="E45" s="160" t="s">
        <v>25</v>
      </c>
      <c r="G45" s="161" t="s">
        <v>24</v>
      </c>
      <c r="H45" s="161" t="s">
        <v>25</v>
      </c>
      <c r="I45" s="161"/>
      <c r="J45" s="161" t="s">
        <v>24</v>
      </c>
      <c r="K45" s="161" t="s">
        <v>25</v>
      </c>
      <c r="M45" s="162" t="s">
        <v>24</v>
      </c>
      <c r="N45" s="162" t="s">
        <v>25</v>
      </c>
      <c r="O45" s="162"/>
      <c r="P45" s="162" t="s">
        <v>24</v>
      </c>
      <c r="Q45" s="162" t="s">
        <v>25</v>
      </c>
    </row>
    <row r="46" spans="1:18" x14ac:dyDescent="0.3">
      <c r="A46" s="148">
        <v>1</v>
      </c>
      <c r="B46" s="152">
        <f>B8/$C$39</f>
        <v>2223.4121426806164</v>
      </c>
      <c r="C46" s="148"/>
      <c r="D46" s="148">
        <v>1</v>
      </c>
      <c r="E46" s="152">
        <f t="shared" ref="E46:E72" si="6">E8/$C$39</f>
        <v>2223.4121426806164</v>
      </c>
      <c r="G46" s="149">
        <v>1</v>
      </c>
      <c r="H46" s="149">
        <f t="shared" ref="H46:H59" si="7">H8/$C$39</f>
        <v>2223.4121426806164</v>
      </c>
      <c r="I46" s="149"/>
      <c r="J46" s="149">
        <v>1</v>
      </c>
      <c r="K46" s="149">
        <f t="shared" ref="K46:K73" si="8">K8/$C$39</f>
        <v>2223.4121426806164</v>
      </c>
      <c r="M46" s="150">
        <v>1</v>
      </c>
      <c r="N46" s="150">
        <f t="shared" ref="N46:N52" si="9">N8/$C$39</f>
        <v>2223.4121426806164</v>
      </c>
      <c r="O46" s="150"/>
      <c r="P46" s="150">
        <v>1</v>
      </c>
      <c r="Q46" s="150">
        <f t="shared" ref="Q46:Q65" si="10">Q8/$C$39</f>
        <v>2223.4121426806164</v>
      </c>
      <c r="R46" s="1"/>
    </row>
    <row r="47" spans="1:18" x14ac:dyDescent="0.3">
      <c r="A47" s="148">
        <v>2</v>
      </c>
      <c r="B47" s="152">
        <f t="shared" ref="B47:B61" si="11">B9/$C$39</f>
        <v>2039.8276538354273</v>
      </c>
      <c r="C47" s="148"/>
      <c r="D47" s="148">
        <v>2</v>
      </c>
      <c r="E47" s="152">
        <f t="shared" si="6"/>
        <v>2039.8276538354273</v>
      </c>
      <c r="G47" s="149">
        <v>2</v>
      </c>
      <c r="H47" s="149">
        <f t="shared" si="7"/>
        <v>2039.8276538354273</v>
      </c>
      <c r="I47" s="149"/>
      <c r="J47" s="149">
        <v>2</v>
      </c>
      <c r="K47" s="149">
        <f t="shared" si="8"/>
        <v>2039.8276538354273</v>
      </c>
      <c r="M47" s="150">
        <v>2</v>
      </c>
      <c r="N47" s="150">
        <f t="shared" si="9"/>
        <v>2039.8276538354273</v>
      </c>
      <c r="O47" s="150"/>
      <c r="P47" s="150">
        <v>2</v>
      </c>
      <c r="Q47" s="150">
        <f t="shared" si="10"/>
        <v>2039.8276538354273</v>
      </c>
      <c r="R47" s="1"/>
    </row>
    <row r="48" spans="1:18" x14ac:dyDescent="0.3">
      <c r="A48" s="148">
        <v>3</v>
      </c>
      <c r="B48" s="152">
        <f t="shared" si="11"/>
        <v>1871.4015172802085</v>
      </c>
      <c r="C48" s="148"/>
      <c r="D48" s="148">
        <v>3</v>
      </c>
      <c r="E48" s="152">
        <f t="shared" si="6"/>
        <v>1871.4015172802085</v>
      </c>
      <c r="G48" s="149">
        <v>3</v>
      </c>
      <c r="H48" s="149">
        <f t="shared" si="7"/>
        <v>1871.4015172802085</v>
      </c>
      <c r="I48" s="149"/>
      <c r="J48" s="149">
        <v>3</v>
      </c>
      <c r="K48" s="149">
        <f t="shared" si="8"/>
        <v>1871.4015172802085</v>
      </c>
      <c r="M48" s="150">
        <v>3</v>
      </c>
      <c r="N48" s="150">
        <f t="shared" si="9"/>
        <v>1871.4015172802085</v>
      </c>
      <c r="O48" s="150"/>
      <c r="P48" s="150">
        <v>3</v>
      </c>
      <c r="Q48" s="150">
        <f t="shared" si="10"/>
        <v>1871.4015172802085</v>
      </c>
      <c r="R48" s="1"/>
    </row>
    <row r="49" spans="1:18" x14ac:dyDescent="0.3">
      <c r="A49" s="148">
        <v>4</v>
      </c>
      <c r="B49" s="152">
        <f t="shared" si="11"/>
        <v>1716.8821259451454</v>
      </c>
      <c r="C49" s="148"/>
      <c r="D49" s="148">
        <v>4</v>
      </c>
      <c r="E49" s="152">
        <f t="shared" si="6"/>
        <v>1716.8821259451454</v>
      </c>
      <c r="G49" s="149">
        <v>4</v>
      </c>
      <c r="H49" s="149">
        <f t="shared" si="7"/>
        <v>1716.8821259451454</v>
      </c>
      <c r="I49" s="149"/>
      <c r="J49" s="149">
        <v>4</v>
      </c>
      <c r="K49" s="149">
        <f t="shared" si="8"/>
        <v>1716.8821259451454</v>
      </c>
      <c r="M49" s="150">
        <v>4</v>
      </c>
      <c r="N49" s="150">
        <f t="shared" si="9"/>
        <v>1716.8821259451454</v>
      </c>
      <c r="O49" s="150"/>
      <c r="P49" s="150">
        <v>4</v>
      </c>
      <c r="Q49" s="150">
        <f t="shared" si="10"/>
        <v>1716.8821259451454</v>
      </c>
      <c r="R49" s="1"/>
    </row>
    <row r="50" spans="1:18" x14ac:dyDescent="0.3">
      <c r="A50" s="148">
        <v>5</v>
      </c>
      <c r="B50" s="152">
        <f t="shared" si="11"/>
        <v>1575.121216463436</v>
      </c>
      <c r="C50" s="148"/>
      <c r="D50" s="148">
        <v>5</v>
      </c>
      <c r="E50" s="152">
        <f t="shared" si="6"/>
        <v>1575.121216463436</v>
      </c>
      <c r="G50" s="149">
        <v>5</v>
      </c>
      <c r="H50" s="149">
        <f t="shared" si="7"/>
        <v>1575.121216463436</v>
      </c>
      <c r="I50" s="149"/>
      <c r="J50" s="149">
        <v>5</v>
      </c>
      <c r="K50" s="149">
        <f t="shared" si="8"/>
        <v>1575.121216463436</v>
      </c>
      <c r="M50" s="150">
        <v>5</v>
      </c>
      <c r="N50" s="150">
        <f t="shared" si="9"/>
        <v>1575.121216463436</v>
      </c>
      <c r="O50" s="150"/>
      <c r="P50" s="150">
        <v>5</v>
      </c>
      <c r="Q50" s="150">
        <f t="shared" si="10"/>
        <v>1575.121216463436</v>
      </c>
      <c r="R50" s="1"/>
    </row>
    <row r="51" spans="1:18" x14ac:dyDescent="0.3">
      <c r="A51" s="148">
        <v>6</v>
      </c>
      <c r="B51" s="152">
        <f t="shared" si="11"/>
        <v>1445.065336204987</v>
      </c>
      <c r="C51" s="148"/>
      <c r="D51" s="148">
        <v>6</v>
      </c>
      <c r="E51" s="152">
        <f t="shared" si="6"/>
        <v>1445.065336204987</v>
      </c>
      <c r="G51" s="149">
        <v>6</v>
      </c>
      <c r="H51" s="149">
        <f t="shared" si="7"/>
        <v>1445.065336204987</v>
      </c>
      <c r="I51" s="149"/>
      <c r="J51" s="149">
        <v>6</v>
      </c>
      <c r="K51" s="149">
        <f t="shared" si="8"/>
        <v>1445.065336204987</v>
      </c>
      <c r="M51" s="150">
        <v>6</v>
      </c>
      <c r="N51" s="150">
        <f t="shared" si="9"/>
        <v>1445.065336204987</v>
      </c>
      <c r="O51" s="150"/>
      <c r="P51" s="150">
        <v>6</v>
      </c>
      <c r="Q51" s="150">
        <f t="shared" si="10"/>
        <v>1445.065336204987</v>
      </c>
      <c r="R51" s="1"/>
    </row>
    <row r="52" spans="1:18" x14ac:dyDescent="0.3">
      <c r="A52" s="148">
        <v>7</v>
      </c>
      <c r="B52" s="152">
        <f t="shared" si="11"/>
        <v>1325.7480148669608</v>
      </c>
      <c r="C52" s="148"/>
      <c r="D52" s="148">
        <v>7</v>
      </c>
      <c r="E52" s="152">
        <f t="shared" si="6"/>
        <v>1325.7480148669608</v>
      </c>
      <c r="G52" s="149">
        <v>7</v>
      </c>
      <c r="H52" s="149">
        <f t="shared" si="7"/>
        <v>1325.7480148669608</v>
      </c>
      <c r="I52" s="149"/>
      <c r="J52" s="149">
        <v>7</v>
      </c>
      <c r="K52" s="149">
        <f t="shared" si="8"/>
        <v>1325.7480148669608</v>
      </c>
      <c r="M52" s="162">
        <f>N43</f>
        <v>6.7708799999999965</v>
      </c>
      <c r="N52" s="150">
        <f t="shared" si="9"/>
        <v>1352.1850958041293</v>
      </c>
      <c r="O52" s="150"/>
      <c r="P52" s="150">
        <v>7</v>
      </c>
      <c r="Q52" s="150">
        <f t="shared" si="10"/>
        <v>1325.7480148669608</v>
      </c>
      <c r="R52" s="1"/>
    </row>
    <row r="53" spans="1:18" x14ac:dyDescent="0.3">
      <c r="A53" s="148">
        <v>8</v>
      </c>
      <c r="B53" s="152">
        <f t="shared" si="11"/>
        <v>1216.2825824467529</v>
      </c>
      <c r="C53" s="148"/>
      <c r="D53" s="148">
        <v>8</v>
      </c>
      <c r="E53" s="152">
        <f t="shared" si="6"/>
        <v>1216.2825824467529</v>
      </c>
      <c r="G53" s="149">
        <v>8</v>
      </c>
      <c r="H53" s="149">
        <f t="shared" si="7"/>
        <v>1216.2825824467529</v>
      </c>
      <c r="I53" s="149"/>
      <c r="J53" s="149">
        <v>8</v>
      </c>
      <c r="K53" s="149">
        <f t="shared" si="8"/>
        <v>1216.2825824467529</v>
      </c>
      <c r="M53" s="162" t="s">
        <v>28</v>
      </c>
      <c r="N53" s="150">
        <f>SUM(N46:N52)</f>
        <v>12223.895088213949</v>
      </c>
      <c r="O53" s="150"/>
      <c r="P53" s="150">
        <v>8</v>
      </c>
      <c r="Q53" s="150">
        <f t="shared" si="10"/>
        <v>1216.2825824467529</v>
      </c>
      <c r="R53" s="1"/>
    </row>
    <row r="54" spans="1:18" x14ac:dyDescent="0.3">
      <c r="A54" s="148">
        <v>9</v>
      </c>
      <c r="B54" s="152">
        <f t="shared" si="11"/>
        <v>1115.8555802263786</v>
      </c>
      <c r="C54" s="148"/>
      <c r="D54" s="148">
        <v>9</v>
      </c>
      <c r="E54" s="152">
        <f t="shared" si="6"/>
        <v>1115.8555802263786</v>
      </c>
      <c r="G54" s="149">
        <v>9</v>
      </c>
      <c r="H54" s="149">
        <f t="shared" si="7"/>
        <v>1115.8555802263786</v>
      </c>
      <c r="I54" s="149"/>
      <c r="J54" s="149">
        <v>9</v>
      </c>
      <c r="K54" s="149">
        <f t="shared" si="8"/>
        <v>1115.8555802263786</v>
      </c>
      <c r="M54" s="162"/>
      <c r="N54" s="150"/>
      <c r="O54" s="150"/>
      <c r="P54" s="150">
        <v>9</v>
      </c>
      <c r="Q54" s="150">
        <f t="shared" si="10"/>
        <v>1115.8555802263786</v>
      </c>
      <c r="R54" s="1"/>
    </row>
    <row r="55" spans="1:18" x14ac:dyDescent="0.3">
      <c r="A55" s="148">
        <v>10</v>
      </c>
      <c r="B55" s="152">
        <f t="shared" si="11"/>
        <v>1023.7207158040169</v>
      </c>
      <c r="C55" s="148"/>
      <c r="D55" s="148">
        <v>10</v>
      </c>
      <c r="E55" s="152">
        <f t="shared" si="6"/>
        <v>1023.7207158040169</v>
      </c>
      <c r="G55" s="149">
        <v>10</v>
      </c>
      <c r="H55" s="149">
        <f t="shared" si="7"/>
        <v>1023.7207158040169</v>
      </c>
      <c r="I55" s="149"/>
      <c r="J55" s="149">
        <v>10</v>
      </c>
      <c r="K55" s="149">
        <f t="shared" si="8"/>
        <v>1023.7207158040169</v>
      </c>
      <c r="M55" s="162"/>
      <c r="N55" s="150"/>
      <c r="O55" s="150"/>
      <c r="P55" s="150">
        <v>10</v>
      </c>
      <c r="Q55" s="150">
        <f t="shared" si="10"/>
        <v>1023.7207158040169</v>
      </c>
      <c r="R55" s="1"/>
    </row>
    <row r="56" spans="1:18" x14ac:dyDescent="0.3">
      <c r="A56" s="148">
        <v>11</v>
      </c>
      <c r="B56" s="152">
        <f t="shared" si="11"/>
        <v>939.1933172513917</v>
      </c>
      <c r="C56" s="148"/>
      <c r="D56" s="148">
        <v>11</v>
      </c>
      <c r="E56" s="152">
        <f t="shared" si="6"/>
        <v>939.1933172513917</v>
      </c>
      <c r="G56" s="149">
        <v>11</v>
      </c>
      <c r="H56" s="149">
        <f t="shared" si="7"/>
        <v>939.1933172513917</v>
      </c>
      <c r="I56" s="149"/>
      <c r="J56" s="149">
        <v>11</v>
      </c>
      <c r="K56" s="149">
        <f t="shared" si="8"/>
        <v>939.1933172513917</v>
      </c>
      <c r="M56" s="162"/>
      <c r="N56" s="150"/>
      <c r="O56" s="150"/>
      <c r="P56" s="150">
        <v>11</v>
      </c>
      <c r="Q56" s="150">
        <f t="shared" si="10"/>
        <v>939.1933172513917</v>
      </c>
      <c r="R56" s="1"/>
    </row>
    <row r="57" spans="1:18" x14ac:dyDescent="0.3">
      <c r="A57" s="148">
        <v>12</v>
      </c>
      <c r="B57" s="152">
        <f t="shared" si="11"/>
        <v>861.6452451847631</v>
      </c>
      <c r="C57" s="148"/>
      <c r="D57" s="148">
        <v>12</v>
      </c>
      <c r="E57" s="152">
        <f t="shared" si="6"/>
        <v>861.6452451847631</v>
      </c>
      <c r="G57" s="149">
        <v>12</v>
      </c>
      <c r="H57" s="149">
        <f t="shared" si="7"/>
        <v>861.6452451847631</v>
      </c>
      <c r="I57" s="149"/>
      <c r="J57" s="149">
        <v>12</v>
      </c>
      <c r="K57" s="149">
        <f t="shared" si="8"/>
        <v>861.6452451847631</v>
      </c>
      <c r="M57" s="162"/>
      <c r="N57" s="150"/>
      <c r="O57" s="150"/>
      <c r="P57" s="150">
        <v>12</v>
      </c>
      <c r="Q57" s="150">
        <f t="shared" si="10"/>
        <v>861.6452451847631</v>
      </c>
      <c r="R57" s="1"/>
    </row>
    <row r="58" spans="1:18" x14ac:dyDescent="0.3">
      <c r="A58" s="148">
        <v>13</v>
      </c>
      <c r="B58" s="152">
        <f t="shared" si="11"/>
        <v>790.50022494014945</v>
      </c>
      <c r="C58" s="148"/>
      <c r="D58" s="148">
        <v>13</v>
      </c>
      <c r="E58" s="152">
        <f t="shared" si="6"/>
        <v>790.50022494014945</v>
      </c>
      <c r="G58" s="149">
        <v>13</v>
      </c>
      <c r="H58" s="149">
        <f t="shared" si="7"/>
        <v>790.50022494014945</v>
      </c>
      <c r="I58" s="149"/>
      <c r="J58" s="149">
        <v>13</v>
      </c>
      <c r="K58" s="149">
        <f t="shared" si="8"/>
        <v>790.50022494014945</v>
      </c>
      <c r="M58" s="162"/>
      <c r="N58" s="162"/>
      <c r="O58" s="162"/>
      <c r="P58" s="150">
        <v>13</v>
      </c>
      <c r="Q58" s="150">
        <f t="shared" si="10"/>
        <v>790.50022494014945</v>
      </c>
      <c r="R58" s="1"/>
    </row>
    <row r="59" spans="1:18" x14ac:dyDescent="0.3">
      <c r="A59" s="148">
        <v>14</v>
      </c>
      <c r="B59" s="152">
        <f t="shared" si="11"/>
        <v>725.22956416527472</v>
      </c>
      <c r="C59" s="148"/>
      <c r="D59" s="148">
        <v>14</v>
      </c>
      <c r="E59" s="152">
        <f t="shared" si="6"/>
        <v>725.22956416527472</v>
      </c>
      <c r="G59" s="161">
        <f>H43</f>
        <v>13.997399999999997</v>
      </c>
      <c r="H59" s="149">
        <f t="shared" si="7"/>
        <v>725.39207876529156</v>
      </c>
      <c r="I59" s="161"/>
      <c r="J59" s="149">
        <v>14</v>
      </c>
      <c r="K59" s="149">
        <f t="shared" si="8"/>
        <v>725.22956416527472</v>
      </c>
      <c r="M59" s="162"/>
      <c r="N59" s="162"/>
      <c r="O59" s="162"/>
      <c r="P59" s="150">
        <v>14</v>
      </c>
      <c r="Q59" s="150">
        <f t="shared" si="10"/>
        <v>725.22956416527472</v>
      </c>
      <c r="R59" s="1"/>
    </row>
    <row r="60" spans="1:18" x14ac:dyDescent="0.3">
      <c r="A60" s="148">
        <v>15</v>
      </c>
      <c r="B60" s="152">
        <f t="shared" si="11"/>
        <v>665.34822400483915</v>
      </c>
      <c r="C60" s="160"/>
      <c r="D60" s="148">
        <v>15</v>
      </c>
      <c r="E60" s="152">
        <f t="shared" si="6"/>
        <v>665.34822400483915</v>
      </c>
      <c r="G60" s="161" t="s">
        <v>28</v>
      </c>
      <c r="H60" s="149">
        <f>SUM(H46:H59)</f>
        <v>18870.047751895523</v>
      </c>
      <c r="I60" s="161"/>
      <c r="J60" s="149">
        <v>15</v>
      </c>
      <c r="K60" s="149">
        <f t="shared" si="8"/>
        <v>665.34822400483915</v>
      </c>
      <c r="M60" s="162"/>
      <c r="N60" s="162"/>
      <c r="O60" s="162"/>
      <c r="P60" s="150">
        <v>15</v>
      </c>
      <c r="Q60" s="150">
        <f t="shared" si="10"/>
        <v>665.34822400483915</v>
      </c>
      <c r="R60" s="1"/>
    </row>
    <row r="61" spans="1:18" x14ac:dyDescent="0.3">
      <c r="A61" s="155">
        <f>B43</f>
        <v>15.363879999999998</v>
      </c>
      <c r="B61" s="152">
        <f t="shared" si="11"/>
        <v>644.8077488796456</v>
      </c>
      <c r="C61" s="160"/>
      <c r="D61" s="148">
        <v>16</v>
      </c>
      <c r="E61" s="152">
        <f t="shared" si="6"/>
        <v>610.41121468333859</v>
      </c>
      <c r="G61" s="161"/>
      <c r="H61" s="149"/>
      <c r="I61" s="161"/>
      <c r="J61" s="149">
        <v>16</v>
      </c>
      <c r="K61" s="149">
        <f t="shared" si="8"/>
        <v>610.41121468333859</v>
      </c>
      <c r="M61" s="162"/>
      <c r="N61" s="162"/>
      <c r="O61" s="162"/>
      <c r="P61" s="150">
        <v>16</v>
      </c>
      <c r="Q61" s="150">
        <f t="shared" si="10"/>
        <v>610.41121468333859</v>
      </c>
      <c r="R61" s="1"/>
    </row>
    <row r="62" spans="1:18" x14ac:dyDescent="0.3">
      <c r="A62" s="160" t="s">
        <v>28</v>
      </c>
      <c r="B62" s="152">
        <f>SUM(B46:B61)</f>
        <v>20180.041210179988</v>
      </c>
      <c r="C62" s="160"/>
      <c r="D62" s="148">
        <v>17</v>
      </c>
      <c r="E62" s="152">
        <f t="shared" si="6"/>
        <v>560.01028870031064</v>
      </c>
      <c r="G62" s="161"/>
      <c r="H62" s="161"/>
      <c r="I62" s="161"/>
      <c r="J62" s="149">
        <v>17</v>
      </c>
      <c r="K62" s="149">
        <f t="shared" si="8"/>
        <v>560.01028870031064</v>
      </c>
      <c r="M62" s="162"/>
      <c r="N62" s="162"/>
      <c r="O62" s="162"/>
      <c r="P62" s="150">
        <v>17</v>
      </c>
      <c r="Q62" s="150">
        <f t="shared" si="10"/>
        <v>560.01028870031064</v>
      </c>
      <c r="R62" s="1"/>
    </row>
    <row r="63" spans="1:18" x14ac:dyDescent="0.3">
      <c r="A63" s="160"/>
      <c r="B63" s="147"/>
      <c r="C63" s="160"/>
      <c r="D63" s="148">
        <v>18</v>
      </c>
      <c r="E63" s="152">
        <f t="shared" si="6"/>
        <v>513.7709070645052</v>
      </c>
      <c r="G63" s="161"/>
      <c r="H63" s="161"/>
      <c r="I63" s="161"/>
      <c r="J63" s="149">
        <v>18</v>
      </c>
      <c r="K63" s="149">
        <f t="shared" si="8"/>
        <v>513.7709070645052</v>
      </c>
      <c r="M63" s="162"/>
      <c r="N63" s="162"/>
      <c r="O63" s="162"/>
      <c r="P63" s="150">
        <v>18</v>
      </c>
      <c r="Q63" s="150">
        <f t="shared" si="10"/>
        <v>513.7709070645052</v>
      </c>
      <c r="R63" s="1"/>
    </row>
    <row r="64" spans="1:18" x14ac:dyDescent="0.3">
      <c r="A64" s="160"/>
      <c r="B64" s="147"/>
      <c r="C64" s="160"/>
      <c r="D64" s="148">
        <v>19</v>
      </c>
      <c r="E64" s="152">
        <f t="shared" si="6"/>
        <v>471.34945602248172</v>
      </c>
      <c r="G64" s="161"/>
      <c r="H64" s="161"/>
      <c r="I64" s="161"/>
      <c r="J64" s="149">
        <v>19</v>
      </c>
      <c r="K64" s="149">
        <f t="shared" si="8"/>
        <v>471.34945602248172</v>
      </c>
      <c r="M64" s="162"/>
      <c r="N64" s="162"/>
      <c r="O64" s="162"/>
      <c r="P64" s="150">
        <v>19</v>
      </c>
      <c r="Q64" s="150">
        <f t="shared" si="10"/>
        <v>471.34945602248172</v>
      </c>
      <c r="R64" s="1"/>
    </row>
    <row r="65" spans="1:18" x14ac:dyDescent="0.3">
      <c r="A65" s="160"/>
      <c r="B65" s="147"/>
      <c r="C65" s="160"/>
      <c r="D65" s="148">
        <v>20</v>
      </c>
      <c r="E65" s="152">
        <f t="shared" si="6"/>
        <v>432.43069359860715</v>
      </c>
      <c r="G65" s="161"/>
      <c r="H65" s="161"/>
      <c r="I65" s="161"/>
      <c r="J65" s="149">
        <v>20</v>
      </c>
      <c r="K65" s="149">
        <f t="shared" si="8"/>
        <v>432.43069359860715</v>
      </c>
      <c r="M65" s="162"/>
      <c r="N65" s="162"/>
      <c r="O65" s="162"/>
      <c r="P65" s="162">
        <f>Q43</f>
        <v>19.349999999999994</v>
      </c>
      <c r="Q65" s="150">
        <f t="shared" si="10"/>
        <v>457.34478988507607</v>
      </c>
      <c r="R65" s="1"/>
    </row>
    <row r="66" spans="1:18" x14ac:dyDescent="0.3">
      <c r="A66" s="160"/>
      <c r="B66" s="160"/>
      <c r="C66" s="160"/>
      <c r="D66" s="148">
        <v>21</v>
      </c>
      <c r="E66" s="152">
        <f t="shared" si="6"/>
        <v>396.72540697119916</v>
      </c>
      <c r="G66" s="161"/>
      <c r="H66" s="161"/>
      <c r="I66" s="161"/>
      <c r="J66" s="149">
        <v>21</v>
      </c>
      <c r="K66" s="149">
        <f t="shared" si="8"/>
        <v>396.72540697119916</v>
      </c>
      <c r="M66" s="162"/>
      <c r="N66" s="162"/>
      <c r="O66" s="162"/>
      <c r="P66" s="162" t="s">
        <v>28</v>
      </c>
      <c r="Q66" s="150">
        <f>SUM(Q46:Q65)</f>
        <v>22148.120117656061</v>
      </c>
      <c r="R66" s="1"/>
    </row>
    <row r="67" spans="1:18" x14ac:dyDescent="0.3">
      <c r="A67" s="160"/>
      <c r="B67" s="160"/>
      <c r="C67" s="160"/>
      <c r="D67" s="148">
        <v>22</v>
      </c>
      <c r="E67" s="152">
        <f t="shared" si="6"/>
        <v>363.96826327632948</v>
      </c>
      <c r="G67" s="161"/>
      <c r="H67" s="161"/>
      <c r="I67" s="161"/>
      <c r="J67" s="149">
        <v>22</v>
      </c>
      <c r="K67" s="149">
        <f t="shared" si="8"/>
        <v>363.96826327632948</v>
      </c>
      <c r="M67" s="162"/>
      <c r="N67" s="162"/>
      <c r="O67" s="162"/>
      <c r="P67" s="162"/>
      <c r="Q67" s="150"/>
      <c r="R67" s="1"/>
    </row>
    <row r="68" spans="1:18" x14ac:dyDescent="0.3">
      <c r="A68" s="160"/>
      <c r="B68" s="160"/>
      <c r="C68" s="160"/>
      <c r="D68" s="148">
        <v>23</v>
      </c>
      <c r="E68" s="152">
        <f t="shared" si="6"/>
        <v>333.91583786819223</v>
      </c>
      <c r="G68" s="161"/>
      <c r="H68" s="161"/>
      <c r="I68" s="161"/>
      <c r="J68" s="149">
        <v>23</v>
      </c>
      <c r="K68" s="149">
        <f t="shared" si="8"/>
        <v>333.91583786819223</v>
      </c>
      <c r="M68" s="162"/>
      <c r="N68" s="162"/>
      <c r="O68" s="162"/>
      <c r="P68" s="162"/>
      <c r="Q68" s="150"/>
      <c r="R68" s="1"/>
    </row>
    <row r="69" spans="1:18" x14ac:dyDescent="0.3">
      <c r="A69" s="160"/>
      <c r="B69" s="160"/>
      <c r="C69" s="160"/>
      <c r="D69" s="148">
        <v>24</v>
      </c>
      <c r="E69" s="152">
        <f t="shared" si="6"/>
        <v>306.3448053836625</v>
      </c>
      <c r="G69" s="161"/>
      <c r="H69" s="161"/>
      <c r="I69" s="161"/>
      <c r="J69" s="149">
        <v>24</v>
      </c>
      <c r="K69" s="149">
        <f t="shared" si="8"/>
        <v>306.3448053836625</v>
      </c>
      <c r="M69" s="162"/>
      <c r="N69" s="162"/>
      <c r="O69" s="162"/>
      <c r="P69" s="162"/>
      <c r="Q69" s="150"/>
      <c r="R69" s="1"/>
    </row>
    <row r="70" spans="1:18" x14ac:dyDescent="0.3">
      <c r="A70" s="160"/>
      <c r="B70" s="160"/>
      <c r="C70" s="160"/>
      <c r="D70" s="148">
        <v>25</v>
      </c>
      <c r="E70" s="152">
        <f t="shared" si="6"/>
        <v>281.05028016849769</v>
      </c>
      <c r="G70" s="161"/>
      <c r="H70" s="161"/>
      <c r="I70" s="161"/>
      <c r="J70" s="161">
        <v>25</v>
      </c>
      <c r="K70" s="149">
        <f t="shared" si="8"/>
        <v>281.05028016849769</v>
      </c>
      <c r="M70" s="162"/>
      <c r="N70" s="162"/>
      <c r="O70" s="162"/>
      <c r="P70" s="162"/>
      <c r="Q70" s="150"/>
      <c r="R70" s="1"/>
    </row>
    <row r="71" spans="1:18" x14ac:dyDescent="0.3">
      <c r="A71" s="160"/>
      <c r="B71" s="160"/>
      <c r="C71" s="160"/>
      <c r="D71" s="148">
        <v>26</v>
      </c>
      <c r="E71" s="152">
        <f t="shared" si="6"/>
        <v>257.84429373256665</v>
      </c>
      <c r="G71" s="161"/>
      <c r="H71" s="161"/>
      <c r="I71" s="161"/>
      <c r="J71" s="155">
        <f>K43</f>
        <v>25.22</v>
      </c>
      <c r="K71" s="149">
        <f t="shared" si="8"/>
        <v>275.77201538127343</v>
      </c>
      <c r="M71" s="162"/>
      <c r="N71" s="162"/>
      <c r="O71" s="162"/>
      <c r="P71" s="162"/>
      <c r="Q71" s="150"/>
      <c r="R71" s="1"/>
    </row>
    <row r="72" spans="1:18" x14ac:dyDescent="0.3">
      <c r="A72" s="160"/>
      <c r="B72" s="160"/>
      <c r="C72" s="160"/>
      <c r="D72" s="155">
        <f>E43</f>
        <v>26.540539999999996</v>
      </c>
      <c r="E72" s="152">
        <f t="shared" si="6"/>
        <v>246.10872212237661</v>
      </c>
      <c r="G72" s="161"/>
      <c r="H72" s="161"/>
      <c r="I72" s="161"/>
      <c r="J72" s="161" t="s">
        <v>28</v>
      </c>
      <c r="K72" s="149">
        <f>SUM(K46:K71)</f>
        <v>24080.982630418745</v>
      </c>
      <c r="M72" s="162"/>
      <c r="N72" s="162"/>
      <c r="O72" s="162"/>
      <c r="P72" s="162"/>
      <c r="Q72" s="150"/>
      <c r="R72" s="1"/>
    </row>
    <row r="73" spans="1:18" x14ac:dyDescent="0.3">
      <c r="A73" s="160"/>
      <c r="B73" s="160"/>
      <c r="C73" s="160"/>
      <c r="D73" s="160" t="s">
        <v>28</v>
      </c>
      <c r="E73" s="152">
        <f>SUM(E46:E72)</f>
        <v>24309.163630892413</v>
      </c>
      <c r="G73" s="161"/>
      <c r="H73" s="161"/>
      <c r="I73" s="161"/>
      <c r="J73" s="161"/>
      <c r="K73" s="149">
        <f t="shared" si="8"/>
        <v>0</v>
      </c>
      <c r="M73" s="162"/>
      <c r="N73" s="162"/>
      <c r="O73" s="162"/>
      <c r="P73" s="162"/>
      <c r="Q73" s="150"/>
      <c r="R73" s="1"/>
    </row>
    <row r="74" spans="1:18" x14ac:dyDescent="0.3">
      <c r="A74" s="208" t="s">
        <v>36</v>
      </c>
      <c r="B74" s="208"/>
      <c r="C74" s="208"/>
      <c r="D74" s="208"/>
      <c r="E74" s="152">
        <f>E73-B62</f>
        <v>4129.1224207124251</v>
      </c>
      <c r="G74" s="161" t="str">
        <f>A74</f>
        <v>Difference</v>
      </c>
      <c r="H74" s="161"/>
      <c r="I74" s="161"/>
      <c r="J74" s="161"/>
      <c r="K74" s="149">
        <f>K72-H60</f>
        <v>5210.9348785232214</v>
      </c>
      <c r="M74" s="162" t="str">
        <f>G74</f>
        <v>Difference</v>
      </c>
      <c r="N74" s="162"/>
      <c r="O74" s="162"/>
      <c r="P74" s="162"/>
      <c r="Q74" s="150">
        <f>Q66-N53</f>
        <v>9924.2250294421119</v>
      </c>
      <c r="R74" s="1"/>
    </row>
    <row r="75" spans="1:18" x14ac:dyDescent="0.3">
      <c r="E75" s="1"/>
      <c r="K75" s="1"/>
      <c r="Q75" s="1"/>
      <c r="R75" s="1"/>
    </row>
    <row r="76" spans="1:18" x14ac:dyDescent="0.3">
      <c r="K76" s="1"/>
      <c r="Q76" s="1"/>
      <c r="R76" s="1"/>
    </row>
  </sheetData>
  <mergeCells count="12">
    <mergeCell ref="A74:D74"/>
    <mergeCell ref="A40:B40"/>
    <mergeCell ref="D40:E40"/>
    <mergeCell ref="M2:N2"/>
    <mergeCell ref="M36:P36"/>
    <mergeCell ref="A2:B2"/>
    <mergeCell ref="G2:H2"/>
    <mergeCell ref="D2:E2"/>
    <mergeCell ref="J2:K2"/>
    <mergeCell ref="P2:Q2"/>
    <mergeCell ref="A36:D36"/>
    <mergeCell ref="G36:J3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BCAD9-14D9-46D3-BFC2-8A3EC5A664A2}">
  <sheetPr codeName="Sheet8"/>
  <dimension ref="A1:G183"/>
  <sheetViews>
    <sheetView topLeftCell="B94" zoomScale="70" zoomScaleNormal="70" workbookViewId="0">
      <selection activeCell="E77" sqref="E77"/>
    </sheetView>
  </sheetViews>
  <sheetFormatPr defaultRowHeight="13.8" x14ac:dyDescent="0.25"/>
  <cols>
    <col min="1" max="1" width="56.33203125" style="3" customWidth="1"/>
    <col min="2" max="2" width="40.33203125" style="4" customWidth="1"/>
    <col min="3" max="3" width="20.77734375" style="3" bestFit="1" customWidth="1"/>
    <col min="4" max="4" width="28" style="4" bestFit="1" customWidth="1"/>
    <col min="5" max="5" width="24.6640625" style="175" bestFit="1" customWidth="1"/>
    <col min="6" max="6" width="20.21875" style="175" customWidth="1"/>
    <col min="7" max="7" width="18.109375" style="175" bestFit="1" customWidth="1"/>
    <col min="8" max="8" width="20.88671875" style="3" bestFit="1" customWidth="1"/>
    <col min="9" max="9" width="18.109375" style="3" bestFit="1" customWidth="1"/>
    <col min="10" max="10" width="24.5546875" style="3" bestFit="1" customWidth="1"/>
    <col min="11" max="11" width="23.88671875" style="3" bestFit="1" customWidth="1"/>
    <col min="12" max="12" width="21.88671875" style="3" bestFit="1" customWidth="1"/>
    <col min="13" max="13" width="21.88671875" style="3" customWidth="1"/>
    <col min="14" max="14" width="25.109375" style="3" bestFit="1" customWidth="1"/>
    <col min="15" max="16" width="25.109375" style="3" customWidth="1"/>
    <col min="17" max="17" width="12.77734375" style="3" bestFit="1" customWidth="1"/>
    <col min="18" max="18" width="21.88671875" style="3" bestFit="1" customWidth="1"/>
    <col min="19" max="19" width="55.5546875" style="3" bestFit="1" customWidth="1"/>
    <col min="20" max="21" width="8.88671875" style="3"/>
    <col min="22" max="22" width="19.88671875" style="3" bestFit="1" customWidth="1"/>
    <col min="23" max="23" width="19.44140625" style="3" bestFit="1" customWidth="1"/>
    <col min="24" max="24" width="21" style="3" bestFit="1" customWidth="1"/>
    <col min="25" max="25" width="21" style="3" customWidth="1"/>
    <col min="26" max="26" width="55.5546875" style="3" bestFit="1" customWidth="1"/>
    <col min="27" max="27" width="10.5546875" style="3" bestFit="1" customWidth="1"/>
    <col min="28" max="16384" width="8.88671875" style="3"/>
  </cols>
  <sheetData>
    <row r="1" spans="1:7" ht="18" thickBot="1" x14ac:dyDescent="0.3">
      <c r="A1" s="88" t="s">
        <v>116</v>
      </c>
      <c r="B1" s="22"/>
      <c r="C1" s="22"/>
      <c r="D1" s="22"/>
      <c r="E1" s="22" t="s">
        <v>203</v>
      </c>
      <c r="F1" s="22">
        <v>121.39</v>
      </c>
      <c r="G1" s="22"/>
    </row>
    <row r="2" spans="1:7" ht="14.4" thickTop="1" x14ac:dyDescent="0.25">
      <c r="A2" s="17" t="s">
        <v>0</v>
      </c>
      <c r="B2" s="17" t="s">
        <v>3</v>
      </c>
      <c r="C2" s="17" t="s">
        <v>2</v>
      </c>
      <c r="D2" s="17" t="s">
        <v>1</v>
      </c>
    </row>
    <row r="3" spans="1:7" x14ac:dyDescent="0.25">
      <c r="A3" s="17"/>
      <c r="B3" s="29" t="str">
        <f>'1. Direct Cost Savings'!D3</f>
        <v>N =343</v>
      </c>
      <c r="C3" s="29" t="str">
        <f>'1. Direct Cost Savings'!C3</f>
        <v>N =245</v>
      </c>
      <c r="D3" s="29" t="str">
        <f>'1. Direct Cost Savings'!B3</f>
        <v>N =98</v>
      </c>
    </row>
    <row r="4" spans="1:7" x14ac:dyDescent="0.25">
      <c r="A4" s="17"/>
      <c r="B4" s="200" t="s">
        <v>200</v>
      </c>
      <c r="C4" s="200"/>
      <c r="D4" s="201"/>
      <c r="E4" s="214" t="s">
        <v>201</v>
      </c>
      <c r="F4" s="214"/>
      <c r="G4" s="214"/>
    </row>
    <row r="5" spans="1:7" x14ac:dyDescent="0.25">
      <c r="A5" s="21" t="s">
        <v>34</v>
      </c>
      <c r="B5" s="9"/>
    </row>
    <row r="6" spans="1:7" x14ac:dyDescent="0.25">
      <c r="A6" s="9" t="s">
        <v>7</v>
      </c>
      <c r="B6" s="6">
        <f>'1. Direct Cost Savings'!D5</f>
        <v>776222</v>
      </c>
      <c r="C6" s="6">
        <f>'1. Direct Cost Savings'!C5</f>
        <v>578135.1</v>
      </c>
      <c r="D6" s="164">
        <f>'1. Direct Cost Savings'!B5</f>
        <v>1271439</v>
      </c>
      <c r="E6" s="176">
        <f>B6/$F$1</f>
        <v>6394.4476480764479</v>
      </c>
      <c r="F6" s="176">
        <f t="shared" ref="F6:G9" si="0">C6/$F$1</f>
        <v>4762.6254221929321</v>
      </c>
      <c r="G6" s="176">
        <f t="shared" si="0"/>
        <v>10474.001153307521</v>
      </c>
    </row>
    <row r="7" spans="1:7" x14ac:dyDescent="0.25">
      <c r="A7" s="9" t="s">
        <v>4</v>
      </c>
      <c r="B7" s="6">
        <f>'1. Direct Cost Savings'!D6</f>
        <v>32184.32</v>
      </c>
      <c r="C7" s="6">
        <f>'1. Direct Cost Savings'!C6</f>
        <v>36652.410000000003</v>
      </c>
      <c r="D7" s="164">
        <f>'1. Direct Cost Savings'!B6</f>
        <v>21014.07</v>
      </c>
      <c r="E7" s="176">
        <f t="shared" ref="E7:E16" si="1">B7/$F$1</f>
        <v>265.13155943652691</v>
      </c>
      <c r="F7" s="176">
        <f t="shared" si="0"/>
        <v>301.93928659691903</v>
      </c>
      <c r="G7" s="176">
        <f t="shared" si="0"/>
        <v>173.11203558777493</v>
      </c>
    </row>
    <row r="8" spans="1:7" x14ac:dyDescent="0.25">
      <c r="A8" s="9" t="s">
        <v>9</v>
      </c>
      <c r="B8" s="6">
        <f>'1. Direct Cost Savings'!D7</f>
        <v>35272</v>
      </c>
      <c r="C8" s="6">
        <f>'1. Direct Cost Savings'!C7</f>
        <v>32989.85</v>
      </c>
      <c r="D8" s="164">
        <f>'1. Direct Cost Savings'!B7</f>
        <v>40977.39</v>
      </c>
      <c r="E8" s="176">
        <f t="shared" si="1"/>
        <v>290.56759205865393</v>
      </c>
      <c r="F8" s="176">
        <f t="shared" si="0"/>
        <v>271.76744377625835</v>
      </c>
      <c r="G8" s="176">
        <f t="shared" si="0"/>
        <v>337.56808633330587</v>
      </c>
    </row>
    <row r="9" spans="1:7" x14ac:dyDescent="0.25">
      <c r="A9" s="9" t="s">
        <v>5</v>
      </c>
      <c r="B9" s="6">
        <f>'1. Direct Cost Savings'!D8</f>
        <v>673.48329999999999</v>
      </c>
      <c r="C9" s="6">
        <f>'1. Direct Cost Savings'!C8</f>
        <v>874.7133</v>
      </c>
      <c r="D9" s="164">
        <f>'1. Direct Cost Savings'!B8</f>
        <v>170.40819999999999</v>
      </c>
      <c r="E9" s="176">
        <f t="shared" si="1"/>
        <v>5.5480953950078256</v>
      </c>
      <c r="F9" s="176">
        <f t="shared" si="0"/>
        <v>7.2058101985336522</v>
      </c>
      <c r="G9" s="176">
        <f t="shared" si="0"/>
        <v>1.4038075624021749</v>
      </c>
    </row>
    <row r="10" spans="1:7" x14ac:dyDescent="0.25">
      <c r="A10" s="21" t="s">
        <v>59</v>
      </c>
      <c r="B10" s="3"/>
    </row>
    <row r="11" spans="1:7" x14ac:dyDescent="0.25">
      <c r="B11" s="6">
        <f>SUM(B6:B9)</f>
        <v>844351.80329999991</v>
      </c>
      <c r="C11" s="6">
        <f>SUM(C6:C9)</f>
        <v>648652.07329999993</v>
      </c>
      <c r="D11" s="164">
        <f>SUM(D6:D9)</f>
        <v>1333600.8681999999</v>
      </c>
      <c r="E11" s="176">
        <f t="shared" si="1"/>
        <v>6955.6948949666357</v>
      </c>
      <c r="F11" s="176">
        <f t="shared" ref="F11" si="2">C11/$F$1</f>
        <v>5343.5379627646425</v>
      </c>
      <c r="G11" s="176">
        <f t="shared" ref="G11" si="3">D11/$F$1</f>
        <v>10986.085082791004</v>
      </c>
    </row>
    <row r="12" spans="1:7" x14ac:dyDescent="0.25">
      <c r="A12" s="21" t="s">
        <v>35</v>
      </c>
      <c r="B12" s="3"/>
    </row>
    <row r="13" spans="1:7" x14ac:dyDescent="0.25">
      <c r="A13" s="9" t="s">
        <v>12</v>
      </c>
      <c r="B13" s="12">
        <f>'2. Indirect Cost Savings'!B37</f>
        <v>150817.79999999999</v>
      </c>
      <c r="E13" s="176">
        <f t="shared" si="1"/>
        <v>1242.4235933767195</v>
      </c>
    </row>
    <row r="14" spans="1:7" x14ac:dyDescent="0.25">
      <c r="A14" s="9" t="s">
        <v>8</v>
      </c>
      <c r="B14" s="12">
        <f>'2. Indirect Cost Savings'!B38</f>
        <v>16509.97</v>
      </c>
      <c r="E14" s="176">
        <f t="shared" si="1"/>
        <v>136.00766125710521</v>
      </c>
    </row>
    <row r="15" spans="1:7" x14ac:dyDescent="0.25">
      <c r="A15" s="9" t="s">
        <v>20</v>
      </c>
      <c r="B15" s="13">
        <f>'2. Indirect Cost Savings'!B39</f>
        <v>167327.76999999999</v>
      </c>
      <c r="E15" s="176">
        <f t="shared" si="1"/>
        <v>1378.4312546338247</v>
      </c>
    </row>
    <row r="16" spans="1:7" x14ac:dyDescent="0.25">
      <c r="A16" s="9" t="s">
        <v>100</v>
      </c>
      <c r="B16" s="13">
        <f>'2. Indirect Cost Savings'!E43</f>
        <v>675373.82604457438</v>
      </c>
      <c r="E16" s="176">
        <f t="shared" si="1"/>
        <v>5563.6693800525118</v>
      </c>
    </row>
    <row r="17" spans="1:7" x14ac:dyDescent="0.25">
      <c r="B17" s="3"/>
    </row>
    <row r="18" spans="1:7" x14ac:dyDescent="0.25">
      <c r="A18" s="3" t="s">
        <v>53</v>
      </c>
      <c r="B18" s="3"/>
    </row>
    <row r="19" spans="1:7" x14ac:dyDescent="0.25">
      <c r="B19" s="6">
        <f>'2. Indirect Cost Savings'!B48</f>
        <v>842701.5960445744</v>
      </c>
      <c r="E19" s="176">
        <f t="shared" ref="E19" si="4">B19/$F$1</f>
        <v>6942.1006346863369</v>
      </c>
    </row>
    <row r="20" spans="1:7" x14ac:dyDescent="0.25">
      <c r="A20" s="3" t="s">
        <v>61</v>
      </c>
      <c r="B20" s="3"/>
    </row>
    <row r="21" spans="1:7" x14ac:dyDescent="0.25">
      <c r="B21" s="6">
        <f>'3. Intangible Cost Savings'!B10</f>
        <v>1060774</v>
      </c>
      <c r="E21" s="176">
        <f t="shared" ref="E21" si="5">B21/$F$1</f>
        <v>8738.5616607628308</v>
      </c>
    </row>
    <row r="22" spans="1:7" x14ac:dyDescent="0.25">
      <c r="A22" s="3" t="s">
        <v>94</v>
      </c>
      <c r="B22" s="3"/>
      <c r="F22" s="177"/>
    </row>
    <row r="23" spans="1:7" x14ac:dyDescent="0.25">
      <c r="B23" s="6">
        <f>'4. Provider Cost Difference'!C4</f>
        <v>693303.9</v>
      </c>
      <c r="C23" s="33"/>
      <c r="E23" s="176">
        <f t="shared" ref="E23" si="6">B23/$F$1</f>
        <v>5711.3757311145891</v>
      </c>
    </row>
    <row r="24" spans="1:7" x14ac:dyDescent="0.25">
      <c r="B24" s="3"/>
    </row>
    <row r="25" spans="1:7" ht="15.6" thickBot="1" x14ac:dyDescent="0.3">
      <c r="A25" s="58" t="s">
        <v>60</v>
      </c>
      <c r="B25" s="27">
        <f>SUM(B11,B19,B21,B23)</f>
        <v>3441131.2993445741</v>
      </c>
      <c r="C25" s="27">
        <f>SUM(C11,B19,B21,B23)</f>
        <v>3245431.5693445741</v>
      </c>
      <c r="D25" s="165">
        <f>SUM(D11,B19,B21,B23)</f>
        <v>3930380.3642445742</v>
      </c>
      <c r="E25" s="176">
        <f t="shared" ref="E25" si="7">B25/$F$1</f>
        <v>28347.732921530391</v>
      </c>
      <c r="F25" s="176">
        <f t="shared" ref="F25" si="8">C25/$F$1</f>
        <v>26735.575989328398</v>
      </c>
      <c r="G25" s="176">
        <f t="shared" ref="G25" si="9">D25/$F$1</f>
        <v>32378.123109354758</v>
      </c>
    </row>
    <row r="26" spans="1:7" ht="14.4" thickTop="1" x14ac:dyDescent="0.25">
      <c r="B26" s="3"/>
    </row>
    <row r="27" spans="1:7" ht="18" thickBot="1" x14ac:dyDescent="0.3">
      <c r="A27" s="88" t="s">
        <v>117</v>
      </c>
      <c r="B27" s="22"/>
      <c r="C27" s="22"/>
      <c r="D27" s="125"/>
    </row>
    <row r="28" spans="1:7" ht="14.4" thickTop="1" x14ac:dyDescent="0.25">
      <c r="A28" s="17" t="s">
        <v>0</v>
      </c>
      <c r="B28" s="17" t="s">
        <v>14</v>
      </c>
      <c r="C28" s="17" t="s">
        <v>16</v>
      </c>
      <c r="D28" s="119" t="s">
        <v>15</v>
      </c>
    </row>
    <row r="29" spans="1:7" x14ac:dyDescent="0.25">
      <c r="A29" s="17"/>
      <c r="B29" s="9" t="s">
        <v>49</v>
      </c>
      <c r="C29" s="9" t="s">
        <v>37</v>
      </c>
      <c r="D29" s="120" t="s">
        <v>48</v>
      </c>
    </row>
    <row r="30" spans="1:7" x14ac:dyDescent="0.25">
      <c r="A30" s="17"/>
      <c r="B30" s="200" t="s">
        <v>200</v>
      </c>
      <c r="C30" s="200"/>
      <c r="D30" s="201"/>
      <c r="E30" s="214" t="s">
        <v>201</v>
      </c>
      <c r="F30" s="214"/>
      <c r="G30" s="214"/>
    </row>
    <row r="31" spans="1:7" x14ac:dyDescent="0.25">
      <c r="A31" s="21" t="s">
        <v>34</v>
      </c>
      <c r="B31" s="9"/>
    </row>
    <row r="32" spans="1:7" x14ac:dyDescent="0.25">
      <c r="A32" s="9" t="s">
        <v>7</v>
      </c>
      <c r="B32" s="7">
        <f>'1. Direct Cost Savings'!B15</f>
        <v>1061263</v>
      </c>
      <c r="C32" s="7">
        <f>'1. Direct Cost Savings'!C15</f>
        <v>566849.9</v>
      </c>
      <c r="D32" s="121">
        <f>'1. Direct Cost Savings'!D15</f>
        <v>925530.2</v>
      </c>
      <c r="E32" s="176">
        <f t="shared" ref="E32:G49" si="10">B32/$F$1</f>
        <v>8742.5899991762089</v>
      </c>
      <c r="F32" s="176">
        <f t="shared" ref="F32:F36" si="11">C32/$F$1</f>
        <v>4669.6589504901558</v>
      </c>
      <c r="G32" s="176">
        <f t="shared" ref="G32:G36" si="12">D32/$F$1</f>
        <v>7624.4352912101485</v>
      </c>
    </row>
    <row r="33" spans="1:7" x14ac:dyDescent="0.25">
      <c r="A33" s="9" t="s">
        <v>4</v>
      </c>
      <c r="B33" s="7">
        <f>'1. Direct Cost Savings'!B16</f>
        <v>23074.51</v>
      </c>
      <c r="C33" s="7">
        <f>'1. Direct Cost Savings'!C16</f>
        <v>26342.080000000002</v>
      </c>
      <c r="D33" s="121">
        <f>'1. Direct Cost Savings'!D16</f>
        <v>46101.11</v>
      </c>
      <c r="E33" s="176">
        <f t="shared" si="10"/>
        <v>190.08575665211302</v>
      </c>
      <c r="F33" s="176">
        <f t="shared" si="11"/>
        <v>217.00370705988962</v>
      </c>
      <c r="G33" s="176">
        <f t="shared" si="12"/>
        <v>379.77683499464536</v>
      </c>
    </row>
    <row r="34" spans="1:7" x14ac:dyDescent="0.25">
      <c r="A34" s="9" t="s">
        <v>9</v>
      </c>
      <c r="B34" s="7">
        <f>'1. Direct Cost Savings'!B17</f>
        <v>32519.16</v>
      </c>
      <c r="C34" s="7">
        <f>'1. Direct Cost Savings'!C17</f>
        <v>32524.16</v>
      </c>
      <c r="D34" s="121">
        <f>'1. Direct Cost Savings'!D17</f>
        <v>40942.29</v>
      </c>
      <c r="E34" s="176">
        <f t="shared" si="10"/>
        <v>267.88994151083284</v>
      </c>
      <c r="F34" s="176">
        <f t="shared" si="11"/>
        <v>267.93113106516188</v>
      </c>
      <c r="G34" s="176">
        <f t="shared" si="12"/>
        <v>337.27893566191614</v>
      </c>
    </row>
    <row r="35" spans="1:7" x14ac:dyDescent="0.25">
      <c r="A35" s="9" t="s">
        <v>5</v>
      </c>
      <c r="B35" s="7">
        <f>'1. Direct Cost Savings'!B18</f>
        <v>140.625</v>
      </c>
      <c r="C35" s="7">
        <f>'1. Direct Cost Savings'!C18</f>
        <v>146.13630000000001</v>
      </c>
      <c r="D35" s="121">
        <f>'1. Direct Cost Savings'!D18</f>
        <v>1764.2860000000001</v>
      </c>
      <c r="E35" s="176">
        <f t="shared" si="10"/>
        <v>1.1584562155037483</v>
      </c>
      <c r="F35" s="176">
        <f t="shared" si="11"/>
        <v>1.2038578136584563</v>
      </c>
      <c r="G35" s="176">
        <f t="shared" si="12"/>
        <v>14.534030809786639</v>
      </c>
    </row>
    <row r="36" spans="1:7" x14ac:dyDescent="0.25">
      <c r="A36" s="21" t="s">
        <v>59</v>
      </c>
      <c r="B36" s="6">
        <f>SUM(B32:B35)</f>
        <v>1116997.2949999999</v>
      </c>
      <c r="C36" s="6">
        <f>SUM(C32:C35)</f>
        <v>625862.27630000003</v>
      </c>
      <c r="D36" s="164">
        <f>SUM(D32:D35)</f>
        <v>1014337.8859999999</v>
      </c>
      <c r="E36" s="176">
        <f t="shared" si="10"/>
        <v>9201.7241535546582</v>
      </c>
      <c r="F36" s="176">
        <f t="shared" si="11"/>
        <v>5155.7976464288658</v>
      </c>
      <c r="G36" s="176">
        <f t="shared" si="12"/>
        <v>8356.0250926764966</v>
      </c>
    </row>
    <row r="37" spans="1:7" x14ac:dyDescent="0.25">
      <c r="A37" s="21" t="s">
        <v>35</v>
      </c>
      <c r="B37" s="3"/>
    </row>
    <row r="38" spans="1:7" x14ac:dyDescent="0.25">
      <c r="A38" s="9" t="s">
        <v>12</v>
      </c>
      <c r="B38" s="11">
        <f>'2. Indirect Cost Savings'!B54</f>
        <v>180838.3</v>
      </c>
      <c r="C38" s="11">
        <f>'2. Indirect Cost Savings'!C54</f>
        <v>140231.79999999999</v>
      </c>
      <c r="D38" s="166">
        <f>'2. Indirect Cost Savings'!D54</f>
        <v>149447.6</v>
      </c>
      <c r="E38" s="176">
        <f t="shared" si="10"/>
        <v>1489.7297965236014</v>
      </c>
      <c r="F38" s="176">
        <f t="shared" si="10"/>
        <v>1155.2170689513139</v>
      </c>
      <c r="G38" s="176">
        <f t="shared" si="10"/>
        <v>1231.1360079083945</v>
      </c>
    </row>
    <row r="39" spans="1:7" x14ac:dyDescent="0.25">
      <c r="A39" s="9" t="s">
        <v>74</v>
      </c>
      <c r="B39" s="11">
        <f>'2. Indirect Cost Savings'!B55</f>
        <v>18147.560000000001</v>
      </c>
      <c r="C39" s="11">
        <f>'2. Indirect Cost Savings'!C55</f>
        <v>14661.42</v>
      </c>
      <c r="D39" s="166">
        <f>'2. Indirect Cost Savings'!D55</f>
        <v>18330.53</v>
      </c>
      <c r="E39" s="176">
        <f t="shared" si="10"/>
        <v>149.49798171183789</v>
      </c>
      <c r="F39" s="176">
        <f t="shared" si="10"/>
        <v>120.77947112612242</v>
      </c>
      <c r="G39" s="176">
        <f t="shared" si="10"/>
        <v>151.00527226295409</v>
      </c>
    </row>
    <row r="40" spans="1:7" x14ac:dyDescent="0.25">
      <c r="A40" s="9" t="s">
        <v>20</v>
      </c>
      <c r="B40" s="7">
        <f>'2. Indirect Cost Savings'!B56</f>
        <v>198985.86</v>
      </c>
      <c r="C40" s="7">
        <f>'2. Indirect Cost Savings'!C56</f>
        <v>154893.22</v>
      </c>
      <c r="D40" s="121">
        <f>'2. Indirect Cost Savings'!D56</f>
        <v>167778.13</v>
      </c>
      <c r="E40" s="176">
        <f t="shared" si="10"/>
        <v>1639.2277782354395</v>
      </c>
      <c r="F40" s="176">
        <f t="shared" si="10"/>
        <v>1275.9965400774363</v>
      </c>
      <c r="G40" s="176">
        <f t="shared" si="10"/>
        <v>1382.1412801713486</v>
      </c>
    </row>
    <row r="41" spans="1:7" x14ac:dyDescent="0.25">
      <c r="A41" s="9" t="s">
        <v>100</v>
      </c>
      <c r="B41" s="7">
        <f>'2. Indirect Cost Savings'!B43</f>
        <v>1204701.676323978</v>
      </c>
      <c r="C41" s="7">
        <f>'2. Indirect Cost Savings'!C43</f>
        <v>501234.17065028101</v>
      </c>
      <c r="D41" s="121">
        <f>'2. Indirect Cost Savings'!D43</f>
        <v>632555.38490393385</v>
      </c>
      <c r="E41" s="176">
        <f t="shared" si="10"/>
        <v>9924.2250294421119</v>
      </c>
      <c r="F41" s="176">
        <f t="shared" si="10"/>
        <v>4129.1224207124233</v>
      </c>
      <c r="G41" s="176">
        <f t="shared" si="10"/>
        <v>5210.9348785232214</v>
      </c>
    </row>
    <row r="42" spans="1:7" x14ac:dyDescent="0.25">
      <c r="A42" s="3" t="s">
        <v>119</v>
      </c>
      <c r="B42" s="3"/>
    </row>
    <row r="43" spans="1:7" x14ac:dyDescent="0.25">
      <c r="B43" s="7">
        <f>'2. Indirect Cost Savings'!B58</f>
        <v>1403687.5363239781</v>
      </c>
      <c r="C43" s="7">
        <f>'2. Indirect Cost Savings'!C58</f>
        <v>656127.39065028098</v>
      </c>
      <c r="D43" s="121">
        <f>'2. Indirect Cost Savings'!D58</f>
        <v>800333.51490393386</v>
      </c>
      <c r="E43" s="176">
        <f t="shared" si="10"/>
        <v>11563.452807677553</v>
      </c>
      <c r="F43" s="176">
        <f t="shared" ref="F43" si="13">C43/$F$1</f>
        <v>5405.1189607898586</v>
      </c>
      <c r="G43" s="176">
        <f t="shared" ref="G43" si="14">D43/$F$1</f>
        <v>6593.07615869457</v>
      </c>
    </row>
    <row r="44" spans="1:7" x14ac:dyDescent="0.25">
      <c r="A44" s="3" t="s">
        <v>55</v>
      </c>
      <c r="B44" s="7"/>
      <c r="C44" s="7"/>
      <c r="D44" s="121"/>
    </row>
    <row r="45" spans="1:7" x14ac:dyDescent="0.25">
      <c r="B45" s="7">
        <f>'3. Intangible Cost Savings'!B4</f>
        <v>825940.2</v>
      </c>
      <c r="C45" s="7">
        <f>'3. Intangible Cost Savings'!B5</f>
        <v>952502.5</v>
      </c>
      <c r="D45" s="121">
        <f>'3. Intangible Cost Savings'!B6</f>
        <v>1356405</v>
      </c>
      <c r="E45" s="176">
        <f t="shared" si="10"/>
        <v>6804.021748084685</v>
      </c>
      <c r="F45" s="176">
        <f t="shared" ref="F45" si="15">C45/$F$1</f>
        <v>7846.6306944558855</v>
      </c>
      <c r="G45" s="176">
        <f t="shared" ref="G45" si="16">D45/$F$1</f>
        <v>11173.943487931461</v>
      </c>
    </row>
    <row r="46" spans="1:7" x14ac:dyDescent="0.25">
      <c r="A46" s="3" t="s">
        <v>56</v>
      </c>
      <c r="B46" s="6"/>
      <c r="C46" s="6"/>
      <c r="D46" s="164"/>
    </row>
    <row r="47" spans="1:7" x14ac:dyDescent="0.25">
      <c r="B47" s="6">
        <f>'4. Provider Cost Difference'!C16</f>
        <v>1287015.5</v>
      </c>
      <c r="C47" s="6">
        <f>'4. Provider Cost Difference'!C19</f>
        <v>292127.10000000003</v>
      </c>
      <c r="D47" s="164">
        <f>'4. Provider Cost Difference'!C22</f>
        <v>1029639.3</v>
      </c>
      <c r="E47" s="176">
        <f t="shared" si="10"/>
        <v>10602.318971908724</v>
      </c>
      <c r="F47" s="176">
        <f t="shared" ref="F47" si="17">C47/$F$1</f>
        <v>2406.5170112859382</v>
      </c>
      <c r="G47" s="176">
        <f t="shared" ref="G47" si="18">D47/$F$1</f>
        <v>8482.07677732927</v>
      </c>
    </row>
    <row r="48" spans="1:7" x14ac:dyDescent="0.25">
      <c r="B48" s="6"/>
      <c r="C48" s="6"/>
      <c r="D48" s="164"/>
    </row>
    <row r="49" spans="1:7" ht="15.6" thickBot="1" x14ac:dyDescent="0.3">
      <c r="A49" s="58" t="s">
        <v>60</v>
      </c>
      <c r="B49" s="27">
        <f>SUM(B36,B43,B45,B47)</f>
        <v>4633640.5313239777</v>
      </c>
      <c r="C49" s="27">
        <f>SUM(C36,C43,C45,C47)</f>
        <v>2526619.2669502809</v>
      </c>
      <c r="D49" s="165">
        <f>SUM(D36,D43,D45,D47)</f>
        <v>4200715.7009039335</v>
      </c>
      <c r="E49" s="176">
        <f t="shared" si="10"/>
        <v>38171.517681225618</v>
      </c>
      <c r="F49" s="176">
        <f t="shared" ref="F49" si="19">C49/$F$1</f>
        <v>20814.064312960549</v>
      </c>
      <c r="G49" s="176">
        <f t="shared" ref="G49" si="20">D49/$F$1</f>
        <v>34605.121516631792</v>
      </c>
    </row>
    <row r="50" spans="1:7" ht="14.4" thickTop="1" x14ac:dyDescent="0.25">
      <c r="B50" s="3"/>
    </row>
    <row r="51" spans="1:7" ht="18" thickBot="1" x14ac:dyDescent="0.3">
      <c r="A51" s="88" t="s">
        <v>118</v>
      </c>
      <c r="B51" s="57"/>
      <c r="C51" s="57"/>
      <c r="D51" s="167"/>
    </row>
    <row r="52" spans="1:7" ht="14.4" thickTop="1" x14ac:dyDescent="0.25">
      <c r="A52" s="17" t="s">
        <v>0</v>
      </c>
      <c r="B52" s="17" t="s">
        <v>38</v>
      </c>
      <c r="C52" s="17" t="s">
        <v>39</v>
      </c>
      <c r="D52" s="119" t="s">
        <v>3</v>
      </c>
    </row>
    <row r="53" spans="1:7" x14ac:dyDescent="0.25">
      <c r="A53" s="29"/>
      <c r="B53" s="29" t="str">
        <f>'1. Direct Cost Savings'!D23</f>
        <v>N = 173</v>
      </c>
      <c r="C53" s="29" t="str">
        <f>'1. Direct Cost Savings'!E23</f>
        <v>N = 18</v>
      </c>
      <c r="D53" s="168" t="str">
        <f>'1. Direct Cost Savings'!F23</f>
        <v>N =343</v>
      </c>
    </row>
    <row r="54" spans="1:7" x14ac:dyDescent="0.25">
      <c r="A54" s="29"/>
      <c r="B54" s="200" t="s">
        <v>200</v>
      </c>
      <c r="C54" s="200"/>
      <c r="D54" s="201"/>
      <c r="E54" s="214" t="s">
        <v>201</v>
      </c>
      <c r="F54" s="214"/>
      <c r="G54" s="214"/>
    </row>
    <row r="55" spans="1:7" x14ac:dyDescent="0.25">
      <c r="A55" s="21" t="s">
        <v>34</v>
      </c>
      <c r="B55" s="9"/>
    </row>
    <row r="56" spans="1:7" x14ac:dyDescent="0.25">
      <c r="A56" s="9" t="s">
        <v>7</v>
      </c>
      <c r="B56" s="6">
        <f>'1. Direct Cost Savings'!D25</f>
        <v>629274.69999999995</v>
      </c>
      <c r="C56" s="6">
        <f>'1. Direct Cost Savings'!E25</f>
        <v>861775.1</v>
      </c>
      <c r="D56" s="169">
        <f>B6</f>
        <v>776222</v>
      </c>
      <c r="E56" s="176">
        <f t="shared" ref="E56:E59" si="21">B56/$F$1</f>
        <v>5183.9088887058242</v>
      </c>
      <c r="F56" s="176">
        <f t="shared" ref="F56:F59" si="22">C56/$F$1</f>
        <v>7099.2264601697007</v>
      </c>
      <c r="G56" s="176">
        <f t="shared" ref="G56:G59" si="23">D56/$F$1</f>
        <v>6394.4476480764479</v>
      </c>
    </row>
    <row r="57" spans="1:7" x14ac:dyDescent="0.25">
      <c r="A57" s="9" t="s">
        <v>4</v>
      </c>
      <c r="B57" s="6">
        <f>'1. Direct Cost Savings'!D26</f>
        <v>18611.12</v>
      </c>
      <c r="C57" s="6">
        <f>'1. Direct Cost Savings'!E26</f>
        <v>42157.41</v>
      </c>
      <c r="D57" s="169">
        <f>B7</f>
        <v>32184.32</v>
      </c>
      <c r="E57" s="176">
        <f t="shared" si="21"/>
        <v>153.31674767279017</v>
      </c>
      <c r="F57" s="176">
        <f t="shared" si="22"/>
        <v>347.28898591317244</v>
      </c>
      <c r="G57" s="176">
        <f t="shared" si="23"/>
        <v>265.13155943652691</v>
      </c>
    </row>
    <row r="58" spans="1:7" x14ac:dyDescent="0.25">
      <c r="A58" s="9" t="s">
        <v>9</v>
      </c>
      <c r="B58" s="6">
        <f>'1. Direct Cost Savings'!D27</f>
        <v>26846.44</v>
      </c>
      <c r="C58" s="6">
        <f>'1. Direct Cost Savings'!E27</f>
        <v>34043.919999999998</v>
      </c>
      <c r="D58" s="169">
        <f>B8</f>
        <v>35272</v>
      </c>
      <c r="E58" s="176">
        <f t="shared" si="21"/>
        <v>221.15857978416673</v>
      </c>
      <c r="F58" s="176">
        <f t="shared" si="22"/>
        <v>280.45077848257682</v>
      </c>
      <c r="G58" s="176">
        <f t="shared" si="23"/>
        <v>290.56759205865393</v>
      </c>
    </row>
    <row r="59" spans="1:7" x14ac:dyDescent="0.25">
      <c r="A59" s="9" t="s">
        <v>5</v>
      </c>
      <c r="B59" s="6">
        <f>'1. Direct Cost Savings'!D28</f>
        <v>1152.2159999999999</v>
      </c>
      <c r="C59" s="6">
        <f>'1. Direct Cost Savings'!E28</f>
        <v>0</v>
      </c>
      <c r="D59" s="169">
        <f>B9</f>
        <v>673.48329999999999</v>
      </c>
      <c r="E59" s="176">
        <f t="shared" si="21"/>
        <v>9.4918527061537183</v>
      </c>
      <c r="F59" s="176">
        <f t="shared" si="22"/>
        <v>0</v>
      </c>
      <c r="G59" s="176">
        <f t="shared" si="23"/>
        <v>5.5480953950078256</v>
      </c>
    </row>
    <row r="60" spans="1:7" x14ac:dyDescent="0.25">
      <c r="A60" s="21" t="s">
        <v>59</v>
      </c>
      <c r="B60" s="6">
        <f>'1. Direct Cost Savings'!D29</f>
        <v>675884.47599999991</v>
      </c>
      <c r="C60" s="6">
        <f>'1. Direct Cost Savings'!E29</f>
        <v>937976.43</v>
      </c>
      <c r="D60" s="169">
        <f>SUM(D56:D59)</f>
        <v>844351.80329999991</v>
      </c>
    </row>
    <row r="61" spans="1:7" x14ac:dyDescent="0.25">
      <c r="B61" s="3"/>
    </row>
    <row r="62" spans="1:7" x14ac:dyDescent="0.25">
      <c r="A62" s="21" t="s">
        <v>35</v>
      </c>
      <c r="B62" s="3"/>
    </row>
    <row r="63" spans="1:7" x14ac:dyDescent="0.25">
      <c r="A63" s="9" t="s">
        <v>12</v>
      </c>
      <c r="B63" s="12">
        <f>'2. Indirect Cost Savings'!B64</f>
        <v>165331.29999999999</v>
      </c>
      <c r="C63" s="12">
        <f>'2. Indirect Cost Savings'!C64</f>
        <v>161240.6</v>
      </c>
      <c r="D63" s="169">
        <f>B13</f>
        <v>150817.79999999999</v>
      </c>
      <c r="E63" s="176">
        <f t="shared" ref="E63:E66" si="24">B63/$F$1</f>
        <v>1361.9845127275721</v>
      </c>
      <c r="F63" s="176">
        <f t="shared" ref="F63:F66" si="25">C63/$F$1</f>
        <v>1328.285690748826</v>
      </c>
      <c r="G63" s="176">
        <f t="shared" ref="G63:G66" si="26">D63/$F$1</f>
        <v>1242.4235933767195</v>
      </c>
    </row>
    <row r="64" spans="1:7" x14ac:dyDescent="0.25">
      <c r="A64" s="9" t="s">
        <v>74</v>
      </c>
      <c r="B64" s="12">
        <f>'2. Indirect Cost Savings'!B65</f>
        <v>15343.11</v>
      </c>
      <c r="C64" s="6">
        <f>'2. Indirect Cost Savings'!C65</f>
        <v>32406.12</v>
      </c>
      <c r="D64" s="169">
        <f>B14</f>
        <v>16509.97</v>
      </c>
      <c r="E64" s="176">
        <f t="shared" si="24"/>
        <v>126.39517258423264</v>
      </c>
      <c r="F64" s="176">
        <f t="shared" si="25"/>
        <v>266.95872806656229</v>
      </c>
      <c r="G64" s="176">
        <f t="shared" si="26"/>
        <v>136.00766125710521</v>
      </c>
    </row>
    <row r="65" spans="1:7" x14ac:dyDescent="0.25">
      <c r="A65" s="9" t="s">
        <v>20</v>
      </c>
      <c r="B65" s="6">
        <f>'2. Indirect Cost Savings'!B66</f>
        <v>180674.40999999997</v>
      </c>
      <c r="C65" s="6">
        <f>'2. Indirect Cost Savings'!C66</f>
        <v>193646.72</v>
      </c>
      <c r="D65" s="169">
        <f>B15</f>
        <v>167327.76999999999</v>
      </c>
      <c r="E65" s="176">
        <f t="shared" si="24"/>
        <v>1488.3796853118047</v>
      </c>
      <c r="F65" s="176">
        <f t="shared" si="25"/>
        <v>1595.2444188153884</v>
      </c>
      <c r="G65" s="176">
        <f t="shared" si="26"/>
        <v>1378.4312546338247</v>
      </c>
    </row>
    <row r="66" spans="1:7" x14ac:dyDescent="0.25">
      <c r="A66" s="9" t="s">
        <v>100</v>
      </c>
      <c r="B66" s="6">
        <f>'2. Indirect Cost Savings'!B67</f>
        <v>675373.82604457438</v>
      </c>
      <c r="C66" s="6">
        <f>'2. Indirect Cost Savings'!C67</f>
        <v>675373.82604457438</v>
      </c>
      <c r="D66" s="169">
        <f>B16</f>
        <v>675373.82604457438</v>
      </c>
      <c r="E66" s="176">
        <f t="shared" si="24"/>
        <v>5563.6693800525118</v>
      </c>
      <c r="F66" s="176">
        <f t="shared" si="25"/>
        <v>5563.6693800525118</v>
      </c>
      <c r="G66" s="176">
        <f t="shared" si="26"/>
        <v>5563.6693800525118</v>
      </c>
    </row>
    <row r="67" spans="1:7" x14ac:dyDescent="0.25">
      <c r="B67" s="3"/>
      <c r="D67" s="169"/>
    </row>
    <row r="68" spans="1:7" x14ac:dyDescent="0.25">
      <c r="A68" s="3" t="s">
        <v>54</v>
      </c>
      <c r="B68" s="13">
        <f>SUM(B65,B66)</f>
        <v>856048.2360445743</v>
      </c>
      <c r="C68" s="13">
        <f>SUM(C65,C66)</f>
        <v>869020.54604457435</v>
      </c>
      <c r="D68" s="169">
        <f>B19</f>
        <v>842701.5960445744</v>
      </c>
      <c r="E68" s="176">
        <f t="shared" ref="E68" si="27">B68/$F$1</f>
        <v>7052.0490653643155</v>
      </c>
      <c r="F68" s="176">
        <f t="shared" ref="F68" si="28">C68/$F$1</f>
        <v>7158.9137988678995</v>
      </c>
      <c r="G68" s="176">
        <f t="shared" ref="G68" si="29">D68/$F$1</f>
        <v>6942.1006346863369</v>
      </c>
    </row>
    <row r="69" spans="1:7" x14ac:dyDescent="0.25">
      <c r="B69" s="6"/>
      <c r="C69" s="6"/>
    </row>
    <row r="70" spans="1:7" x14ac:dyDescent="0.25">
      <c r="A70" s="3" t="s">
        <v>55</v>
      </c>
      <c r="B70" s="6">
        <f>'3. Intangible Cost Savings'!B8</f>
        <v>1094147</v>
      </c>
      <c r="C70" s="6">
        <f>'3. Intangible Cost Savings'!B9</f>
        <v>1292262</v>
      </c>
      <c r="D70" s="169">
        <f>B21</f>
        <v>1060774</v>
      </c>
      <c r="E70" s="176">
        <f t="shared" ref="E70" si="30">B70/$F$1</f>
        <v>9013.4854600873223</v>
      </c>
      <c r="F70" s="176">
        <f t="shared" ref="F70" si="31">C70/$F$1</f>
        <v>10645.539171266168</v>
      </c>
      <c r="G70" s="176">
        <f t="shared" ref="G70" si="32">D70/$F$1</f>
        <v>8738.5616607628308</v>
      </c>
    </row>
    <row r="71" spans="1:7" x14ac:dyDescent="0.25">
      <c r="B71" s="6"/>
      <c r="C71" s="6"/>
    </row>
    <row r="72" spans="1:7" x14ac:dyDescent="0.25">
      <c r="A72" s="3" t="s">
        <v>56</v>
      </c>
      <c r="B72" s="6">
        <f>'4. Provider Cost Difference'!C40</f>
        <v>686114.4</v>
      </c>
      <c r="C72" s="6">
        <f>'4. Provider Cost Difference'!C43</f>
        <v>657930.6</v>
      </c>
      <c r="D72" s="169">
        <f>B23</f>
        <v>693303.9</v>
      </c>
      <c r="E72" s="176">
        <f t="shared" ref="E72" si="33">B72/$F$1</f>
        <v>5652.1492709448885</v>
      </c>
      <c r="F72" s="176">
        <f t="shared" ref="F72" si="34">C72/$F$1</f>
        <v>5419.9736386852292</v>
      </c>
      <c r="G72" s="176">
        <f t="shared" ref="G72" si="35">D72/$F$1</f>
        <v>5711.3757311145891</v>
      </c>
    </row>
    <row r="73" spans="1:7" x14ac:dyDescent="0.25">
      <c r="B73" s="6"/>
      <c r="C73" s="6"/>
    </row>
    <row r="74" spans="1:7" ht="15.6" thickBot="1" x14ac:dyDescent="0.3">
      <c r="A74" s="58" t="s">
        <v>60</v>
      </c>
      <c r="B74" s="27">
        <f>SUM(B60,B68,B70,B72)</f>
        <v>3312194.1120445742</v>
      </c>
      <c r="C74" s="27">
        <f>SUM(C60,C68,C70,C72)</f>
        <v>3757189.5760445744</v>
      </c>
      <c r="D74" s="165">
        <f>SUM(D60,D68,D70,D72)</f>
        <v>3441131.2993445741</v>
      </c>
      <c r="E74" s="176">
        <f t="shared" ref="E74" si="36">B74/$F$1</f>
        <v>27285.559865265459</v>
      </c>
      <c r="F74" s="176">
        <f t="shared" ref="F74" si="37">C74/$F$1</f>
        <v>30951.392833384747</v>
      </c>
      <c r="G74" s="176">
        <f t="shared" ref="G74" si="38">D74/$F$1</f>
        <v>28347.732921530391</v>
      </c>
    </row>
    <row r="75" spans="1:7" ht="14.4" thickTop="1" x14ac:dyDescent="0.25">
      <c r="B75" s="3"/>
    </row>
    <row r="76" spans="1:7" ht="18" thickBot="1" x14ac:dyDescent="0.3">
      <c r="A76" s="88" t="s">
        <v>144</v>
      </c>
      <c r="B76" s="22"/>
      <c r="C76" s="22"/>
      <c r="D76" s="125"/>
    </row>
    <row r="77" spans="1:7" ht="14.4" thickTop="1" x14ac:dyDescent="0.25">
      <c r="B77" s="35" t="s">
        <v>14</v>
      </c>
      <c r="C77" s="35" t="s">
        <v>16</v>
      </c>
      <c r="D77" s="170" t="s">
        <v>15</v>
      </c>
    </row>
    <row r="78" spans="1:7" x14ac:dyDescent="0.25">
      <c r="A78" s="17" t="s">
        <v>38</v>
      </c>
      <c r="B78" s="3"/>
    </row>
    <row r="79" spans="1:7" x14ac:dyDescent="0.25">
      <c r="A79" s="17"/>
      <c r="B79" s="200" t="s">
        <v>200</v>
      </c>
      <c r="C79" s="200"/>
      <c r="D79" s="201"/>
      <c r="E79" s="214" t="s">
        <v>201</v>
      </c>
      <c r="F79" s="214"/>
      <c r="G79" s="214"/>
    </row>
    <row r="80" spans="1:7" x14ac:dyDescent="0.25">
      <c r="A80" s="21" t="s">
        <v>34</v>
      </c>
      <c r="B80" s="9"/>
    </row>
    <row r="81" spans="1:7" x14ac:dyDescent="0.25">
      <c r="A81" s="9" t="s">
        <v>7</v>
      </c>
      <c r="B81" s="6">
        <f>'1. Direct Cost Savings'!B35</f>
        <v>631960.80000000005</v>
      </c>
      <c r="C81" s="6">
        <f>'1. Direct Cost Savings'!C35</f>
        <v>542880.30000000005</v>
      </c>
      <c r="D81" s="164">
        <f>'1. Direct Cost Savings'!D35</f>
        <v>741505.3</v>
      </c>
      <c r="E81" s="176">
        <f t="shared" ref="E81:E85" si="39">B81/$F$1</f>
        <v>5206.036741082462</v>
      </c>
      <c r="F81" s="176">
        <f t="shared" ref="F81:F85" si="40">C81/$F$1</f>
        <v>4472.1995222011701</v>
      </c>
      <c r="G81" s="176">
        <f t="shared" ref="G81:G85" si="41">D81/$F$1</f>
        <v>6108.4545679215753</v>
      </c>
    </row>
    <row r="82" spans="1:7" x14ac:dyDescent="0.25">
      <c r="A82" s="9" t="s">
        <v>4</v>
      </c>
      <c r="B82" s="6">
        <f>'1. Direct Cost Savings'!B36</f>
        <v>9630.3919999999998</v>
      </c>
      <c r="C82" s="6">
        <f>'1. Direct Cost Savings'!C36</f>
        <v>16011.31</v>
      </c>
      <c r="D82" s="164">
        <f>'1. Direct Cost Savings'!D36</f>
        <v>27123.27</v>
      </c>
      <c r="E82" s="176">
        <f t="shared" si="39"/>
        <v>79.334310898756073</v>
      </c>
      <c r="F82" s="176">
        <f t="shared" si="40"/>
        <v>131.89974462476314</v>
      </c>
      <c r="G82" s="176">
        <f t="shared" si="41"/>
        <v>223.43908064914737</v>
      </c>
    </row>
    <row r="83" spans="1:7" x14ac:dyDescent="0.25">
      <c r="A83" s="9" t="s">
        <v>9</v>
      </c>
      <c r="B83" s="6">
        <f>'1. Direct Cost Savings'!B37</f>
        <v>26661.18</v>
      </c>
      <c r="C83" s="6">
        <f>'1. Direct Cost Savings'!C37</f>
        <v>23050.94</v>
      </c>
      <c r="D83" s="164">
        <f>'1. Direct Cost Savings'!D37</f>
        <v>31948.83</v>
      </c>
      <c r="E83" s="176">
        <f t="shared" si="39"/>
        <v>219.63242441716781</v>
      </c>
      <c r="F83" s="176">
        <f t="shared" si="40"/>
        <v>189.89158909300599</v>
      </c>
      <c r="G83" s="176">
        <f t="shared" si="41"/>
        <v>263.19161380673864</v>
      </c>
    </row>
    <row r="84" spans="1:7" x14ac:dyDescent="0.25">
      <c r="A84" s="9" t="s">
        <v>5</v>
      </c>
      <c r="B84" s="6">
        <f>'1. Direct Cost Savings'!B38</f>
        <v>264.70589999999999</v>
      </c>
      <c r="C84" s="6">
        <f>'1. Direct Cost Savings'!C38</f>
        <v>29.535799999999998</v>
      </c>
      <c r="D84" s="164">
        <f>'1. Direct Cost Savings'!D38</f>
        <v>3133.3330000000001</v>
      </c>
      <c r="E84" s="176">
        <f t="shared" si="39"/>
        <v>2.1806236098525411</v>
      </c>
      <c r="F84" s="176">
        <f t="shared" si="40"/>
        <v>0.24331328775022654</v>
      </c>
      <c r="G84" s="176">
        <f t="shared" si="41"/>
        <v>25.812117966883598</v>
      </c>
    </row>
    <row r="85" spans="1:7" x14ac:dyDescent="0.25">
      <c r="A85" s="21" t="s">
        <v>59</v>
      </c>
      <c r="B85" s="6">
        <f>'1. Direct Cost Savings'!B39</f>
        <v>668517.07790000003</v>
      </c>
      <c r="C85" s="6">
        <f>'1. Direct Cost Savings'!C39</f>
        <v>581972.0858</v>
      </c>
      <c r="D85" s="164">
        <f>'1. Direct Cost Savings'!D39</f>
        <v>803710.73300000001</v>
      </c>
      <c r="E85" s="176">
        <f t="shared" si="39"/>
        <v>5507.1841000082386</v>
      </c>
      <c r="F85" s="176">
        <f t="shared" si="40"/>
        <v>4794.2341692066893</v>
      </c>
      <c r="G85" s="176">
        <f t="shared" si="41"/>
        <v>6620.897380344345</v>
      </c>
    </row>
    <row r="86" spans="1:7" x14ac:dyDescent="0.25">
      <c r="A86" s="21" t="s">
        <v>35</v>
      </c>
      <c r="B86" s="3"/>
    </row>
    <row r="87" spans="1:7" x14ac:dyDescent="0.25">
      <c r="A87" s="9" t="s">
        <v>12</v>
      </c>
      <c r="B87" s="12">
        <f>'2. Indirect Cost Savings'!B74</f>
        <v>194161.5</v>
      </c>
      <c r="C87" s="12">
        <f>'2. Indirect Cost Savings'!C74</f>
        <v>150946.6</v>
      </c>
      <c r="D87" s="171">
        <f>'2. Indirect Cost Savings'!D74</f>
        <v>167934</v>
      </c>
      <c r="E87" s="176">
        <f t="shared" ref="E87:E91" si="42">B87/$F$1</f>
        <v>1599.4851305708871</v>
      </c>
      <c r="F87" s="176">
        <f t="shared" ref="F87:F91" si="43">C87/$F$1</f>
        <v>1243.4846362962353</v>
      </c>
      <c r="G87" s="176">
        <f t="shared" ref="G87:G91" si="44">D87/$F$1</f>
        <v>1383.4253233380016</v>
      </c>
    </row>
    <row r="88" spans="1:7" x14ac:dyDescent="0.25">
      <c r="A88" s="9" t="s">
        <v>74</v>
      </c>
      <c r="B88" s="12">
        <f>'2. Indirect Cost Savings'!B75</f>
        <v>14944.77</v>
      </c>
      <c r="C88" s="12">
        <f>'2. Indirect Cost Savings'!C75</f>
        <v>16741.77</v>
      </c>
      <c r="D88" s="171">
        <f>'2. Indirect Cost Savings'!D75</f>
        <v>13727.27</v>
      </c>
      <c r="E88" s="176">
        <f t="shared" si="42"/>
        <v>123.1136831699481</v>
      </c>
      <c r="F88" s="176">
        <f t="shared" si="43"/>
        <v>137.91720899579866</v>
      </c>
      <c r="G88" s="176">
        <f t="shared" si="44"/>
        <v>113.08402669083121</v>
      </c>
    </row>
    <row r="89" spans="1:7" x14ac:dyDescent="0.25">
      <c r="A89" s="9" t="s">
        <v>20</v>
      </c>
      <c r="B89" s="12">
        <f>'2. Indirect Cost Savings'!B76</f>
        <v>209106.27</v>
      </c>
      <c r="C89" s="12">
        <f>'2. Indirect Cost Savings'!C76</f>
        <v>167688.37</v>
      </c>
      <c r="D89" s="171">
        <f>'2. Indirect Cost Savings'!D76</f>
        <v>181661.27</v>
      </c>
      <c r="E89" s="176">
        <f t="shared" si="42"/>
        <v>1722.5988137408353</v>
      </c>
      <c r="F89" s="176">
        <f t="shared" si="43"/>
        <v>1381.4018452920338</v>
      </c>
      <c r="G89" s="176">
        <f t="shared" si="44"/>
        <v>1496.5093500288326</v>
      </c>
    </row>
    <row r="90" spans="1:7" x14ac:dyDescent="0.25">
      <c r="A90" s="9" t="s">
        <v>100</v>
      </c>
      <c r="B90" s="12">
        <f>'2. Indirect Cost Savings'!B77</f>
        <v>675373.82604457438</v>
      </c>
      <c r="C90" s="12">
        <f>'2. Indirect Cost Savings'!C77</f>
        <v>675373.82604457438</v>
      </c>
      <c r="D90" s="171">
        <f>'2. Indirect Cost Savings'!D77</f>
        <v>675373.82604457438</v>
      </c>
      <c r="E90" s="176">
        <f t="shared" si="42"/>
        <v>5563.6693800525118</v>
      </c>
      <c r="F90" s="176">
        <f t="shared" si="43"/>
        <v>5563.6693800525118</v>
      </c>
      <c r="G90" s="176">
        <f t="shared" si="44"/>
        <v>5563.6693800525118</v>
      </c>
    </row>
    <row r="91" spans="1:7" x14ac:dyDescent="0.25">
      <c r="A91" s="3" t="s">
        <v>54</v>
      </c>
      <c r="B91" s="12">
        <f>'2. Indirect Cost Savings'!B78</f>
        <v>884480.0960445744</v>
      </c>
      <c r="C91" s="12">
        <f>'2. Indirect Cost Savings'!C78</f>
        <v>843062.19604457438</v>
      </c>
      <c r="D91" s="171">
        <f>'2. Indirect Cost Savings'!D78</f>
        <v>857035.0960445744</v>
      </c>
      <c r="E91" s="176">
        <f t="shared" si="42"/>
        <v>7286.2681937933467</v>
      </c>
      <c r="F91" s="176">
        <f t="shared" si="43"/>
        <v>6945.0712253445454</v>
      </c>
      <c r="G91" s="176">
        <f t="shared" si="44"/>
        <v>7060.1787300813439</v>
      </c>
    </row>
    <row r="92" spans="1:7" x14ac:dyDescent="0.25">
      <c r="B92" s="6"/>
      <c r="C92" s="6"/>
    </row>
    <row r="93" spans="1:7" x14ac:dyDescent="0.25">
      <c r="A93" s="3" t="s">
        <v>55</v>
      </c>
      <c r="B93" s="6">
        <f>'3. Intangible Cost Savings'!B16</f>
        <v>527254.9</v>
      </c>
      <c r="C93" s="6">
        <f>'3. Intangible Cost Savings'!C16</f>
        <v>914412.3</v>
      </c>
      <c r="D93" s="164">
        <f>'3. Intangible Cost Savings'!D16</f>
        <v>1652035</v>
      </c>
      <c r="E93" s="176">
        <f t="shared" ref="E93" si="45">B93/$F$1</f>
        <v>4343.4788697586291</v>
      </c>
      <c r="F93" s="176">
        <f t="shared" ref="F93" si="46">C93/$F$1</f>
        <v>7532.8470219952223</v>
      </c>
      <c r="G93" s="176">
        <f t="shared" ref="G93" si="47">D93/$F$1</f>
        <v>13609.317077189226</v>
      </c>
    </row>
    <row r="94" spans="1:7" x14ac:dyDescent="0.25">
      <c r="B94" s="6"/>
      <c r="C94" s="6"/>
    </row>
    <row r="95" spans="1:7" x14ac:dyDescent="0.25">
      <c r="A95" s="3" t="s">
        <v>56</v>
      </c>
      <c r="B95" s="6">
        <f>'4. Provider Cost Difference'!B70</f>
        <v>54427.199999999953</v>
      </c>
      <c r="C95" s="6">
        <f>'4. Provider Cost Difference'!C70</f>
        <v>387234.99999999994</v>
      </c>
      <c r="D95" s="164">
        <f>'4. Provider Cost Difference'!D70</f>
        <v>1642677.1</v>
      </c>
      <c r="E95" s="176">
        <f t="shared" ref="E95" si="48">B95/$F$1</f>
        <v>448.36642227531058</v>
      </c>
      <c r="F95" s="176">
        <f t="shared" ref="F95" si="49">C95/$F$1</f>
        <v>3190.0074141197788</v>
      </c>
      <c r="G95" s="176">
        <f t="shared" ref="G95" si="50">D95/$F$1</f>
        <v>13532.227531098115</v>
      </c>
    </row>
    <row r="96" spans="1:7" x14ac:dyDescent="0.25">
      <c r="B96" s="6"/>
      <c r="C96" s="6"/>
    </row>
    <row r="97" spans="1:7" ht="15.6" thickBot="1" x14ac:dyDescent="0.3">
      <c r="A97" s="58" t="s">
        <v>60</v>
      </c>
      <c r="B97" s="27">
        <f>SUM(B85,B91,B93,B95)</f>
        <v>2134679.2739445744</v>
      </c>
      <c r="C97" s="27">
        <f t="shared" ref="C97:D97" si="51">SUM(C85,C91,C93,C95)</f>
        <v>2726681.5818445748</v>
      </c>
      <c r="D97" s="165">
        <f t="shared" si="51"/>
        <v>4955457.9290445745</v>
      </c>
      <c r="E97" s="176">
        <f t="shared" ref="E97" si="52">B97/$F$1</f>
        <v>17585.297585835524</v>
      </c>
      <c r="F97" s="176">
        <f t="shared" ref="F97" si="53">C97/$F$1</f>
        <v>22462.159830666238</v>
      </c>
      <c r="G97" s="176">
        <f t="shared" ref="G97" si="54">D97/$F$1</f>
        <v>40822.620718713028</v>
      </c>
    </row>
    <row r="98" spans="1:7" ht="14.4" thickTop="1" x14ac:dyDescent="0.25">
      <c r="B98" s="17" t="s">
        <v>14</v>
      </c>
      <c r="C98" s="17" t="s">
        <v>16</v>
      </c>
      <c r="D98" s="119" t="s">
        <v>15</v>
      </c>
    </row>
    <row r="99" spans="1:7" x14ac:dyDescent="0.25">
      <c r="A99" s="17" t="s">
        <v>40</v>
      </c>
      <c r="B99" s="3"/>
    </row>
    <row r="100" spans="1:7" x14ac:dyDescent="0.25">
      <c r="A100" s="17"/>
      <c r="B100" s="200" t="s">
        <v>200</v>
      </c>
      <c r="C100" s="200"/>
      <c r="D100" s="201"/>
      <c r="E100" s="214" t="s">
        <v>201</v>
      </c>
      <c r="F100" s="214"/>
      <c r="G100" s="214"/>
    </row>
    <row r="101" spans="1:7" x14ac:dyDescent="0.25">
      <c r="A101" s="21" t="s">
        <v>34</v>
      </c>
      <c r="B101" s="3"/>
    </row>
    <row r="102" spans="1:7" x14ac:dyDescent="0.25">
      <c r="A102" s="9" t="s">
        <v>7</v>
      </c>
      <c r="B102" s="172">
        <f>'1. Direct Cost Savings'!B42</f>
        <v>775600</v>
      </c>
      <c r="C102" s="172">
        <f>'1. Direct Cost Savings'!C42</f>
        <v>1021939</v>
      </c>
      <c r="D102" s="173">
        <f>'1. Direct Cost Savings'!D42</f>
        <v>746730.2</v>
      </c>
      <c r="E102" s="176">
        <f t="shared" ref="E102:E106" si="55">B102/$F$1</f>
        <v>6389.3236675179178</v>
      </c>
      <c r="F102" s="176">
        <f t="shared" ref="F102:F106" si="56">C102/$F$1</f>
        <v>8418.6423922893155</v>
      </c>
      <c r="G102" s="176">
        <f t="shared" ref="G102:G106" si="57">D102/$F$1</f>
        <v>6151.4968284043161</v>
      </c>
    </row>
    <row r="103" spans="1:7" x14ac:dyDescent="0.25">
      <c r="A103" s="9" t="s">
        <v>4</v>
      </c>
      <c r="B103" s="172">
        <f>'1. Direct Cost Savings'!B43</f>
        <v>50666.67</v>
      </c>
      <c r="C103" s="172">
        <f>'1. Direct Cost Savings'!C43</f>
        <v>19928.57</v>
      </c>
      <c r="D103" s="173">
        <f>'1. Direct Cost Savings'!D43</f>
        <v>61000</v>
      </c>
      <c r="E103" s="176">
        <f t="shared" si="55"/>
        <v>417.38751132712741</v>
      </c>
      <c r="F103" s="176">
        <f t="shared" si="56"/>
        <v>164.16978334294421</v>
      </c>
      <c r="G103" s="176">
        <f t="shared" si="57"/>
        <v>502.51256281407035</v>
      </c>
    </row>
    <row r="104" spans="1:7" x14ac:dyDescent="0.25">
      <c r="A104" s="9" t="s">
        <v>9</v>
      </c>
      <c r="B104" s="172">
        <f>'1. Direct Cost Savings'!B44</f>
        <v>47786.67</v>
      </c>
      <c r="C104" s="172">
        <f>'1. Direct Cost Savings'!C44</f>
        <v>34455.78</v>
      </c>
      <c r="D104" s="173">
        <f>'1. Direct Cost Savings'!D44</f>
        <v>22111.11</v>
      </c>
      <c r="E104" s="176">
        <f t="shared" si="55"/>
        <v>393.66232803361066</v>
      </c>
      <c r="F104" s="176">
        <f t="shared" si="56"/>
        <v>283.84364445176703</v>
      </c>
      <c r="G104" s="176">
        <f t="shared" si="57"/>
        <v>182.14935332399705</v>
      </c>
    </row>
    <row r="105" spans="1:7" x14ac:dyDescent="0.25">
      <c r="A105" s="9" t="s">
        <v>5</v>
      </c>
      <c r="B105" s="172">
        <f>'1. Direct Cost Savings'!B45</f>
        <v>0</v>
      </c>
      <c r="C105" s="172">
        <f>'1. Direct Cost Savings'!C45</f>
        <v>0</v>
      </c>
      <c r="D105" s="173">
        <f>'1. Direct Cost Savings'!D45</f>
        <v>0</v>
      </c>
      <c r="E105" s="176">
        <f t="shared" si="55"/>
        <v>0</v>
      </c>
      <c r="F105" s="176">
        <f t="shared" si="56"/>
        <v>0</v>
      </c>
      <c r="G105" s="176">
        <f t="shared" si="57"/>
        <v>0</v>
      </c>
    </row>
    <row r="106" spans="1:7" x14ac:dyDescent="0.25">
      <c r="A106" s="21" t="s">
        <v>59</v>
      </c>
      <c r="B106" s="6">
        <f>'1. Direct Cost Savings'!B46</f>
        <v>874053.34000000008</v>
      </c>
      <c r="C106" s="6">
        <f>'1. Direct Cost Savings'!C46</f>
        <v>1076323.3499999999</v>
      </c>
      <c r="D106" s="164">
        <f>'1. Direct Cost Savings'!D46</f>
        <v>829841.30999999994</v>
      </c>
      <c r="E106" s="176">
        <f t="shared" si="55"/>
        <v>7200.3735068786564</v>
      </c>
      <c r="F106" s="176">
        <f t="shared" si="56"/>
        <v>8866.6558200840263</v>
      </c>
      <c r="G106" s="176">
        <f t="shared" si="57"/>
        <v>6836.1587445423838</v>
      </c>
    </row>
    <row r="107" spans="1:7" x14ac:dyDescent="0.25">
      <c r="A107" s="21" t="s">
        <v>35</v>
      </c>
      <c r="B107" s="7"/>
      <c r="C107" s="7"/>
      <c r="D107" s="121"/>
    </row>
    <row r="108" spans="1:7" x14ac:dyDescent="0.25">
      <c r="A108" s="9" t="s">
        <v>12</v>
      </c>
      <c r="B108" s="12">
        <f>'2. Indirect Cost Savings'!B82</f>
        <v>177672</v>
      </c>
      <c r="C108" s="12">
        <f>'2. Indirect Cost Savings'!C82</f>
        <v>113603.6</v>
      </c>
      <c r="D108" s="171">
        <f>'2. Indirect Cost Savings'!D82</f>
        <v>203124.3</v>
      </c>
      <c r="E108" s="176">
        <f t="shared" ref="E108:E112" si="58">B108/$F$1</f>
        <v>1463.6460993492051</v>
      </c>
      <c r="F108" s="176">
        <f t="shared" ref="F108:F112" si="59">C108/$F$1</f>
        <v>935.85633083450045</v>
      </c>
      <c r="G108" s="176">
        <f t="shared" ref="G108:G112" si="60">D108/$F$1</f>
        <v>1673.3198780789191</v>
      </c>
    </row>
    <row r="109" spans="1:7" x14ac:dyDescent="0.25">
      <c r="A109" s="9" t="s">
        <v>74</v>
      </c>
      <c r="B109" s="12">
        <f>'2. Indirect Cost Savings'!B83</f>
        <v>28943.96</v>
      </c>
      <c r="C109" s="12">
        <f>'2. Indirect Cost Savings'!C83</f>
        <v>14891.32</v>
      </c>
      <c r="D109" s="171">
        <f>'2. Indirect Cost Savings'!D83</f>
        <v>55725.17</v>
      </c>
      <c r="E109" s="176">
        <f t="shared" si="58"/>
        <v>238.43776258340884</v>
      </c>
      <c r="F109" s="176">
        <f t="shared" si="59"/>
        <v>122.67336683417085</v>
      </c>
      <c r="G109" s="176">
        <f t="shared" si="60"/>
        <v>459.05898344179917</v>
      </c>
    </row>
    <row r="110" spans="1:7" x14ac:dyDescent="0.25">
      <c r="A110" s="9" t="s">
        <v>20</v>
      </c>
      <c r="B110" s="12">
        <f>'2. Indirect Cost Savings'!B84</f>
        <v>206615.96</v>
      </c>
      <c r="C110" s="12">
        <f>'2. Indirect Cost Savings'!C84</f>
        <v>128494.92000000001</v>
      </c>
      <c r="D110" s="171">
        <f>'2. Indirect Cost Savings'!D84</f>
        <v>258849.46999999997</v>
      </c>
      <c r="E110" s="176">
        <f t="shared" si="58"/>
        <v>1702.0838619326139</v>
      </c>
      <c r="F110" s="176">
        <f t="shared" si="59"/>
        <v>1058.5296976686714</v>
      </c>
      <c r="G110" s="176">
        <f t="shared" si="60"/>
        <v>2132.3788615207181</v>
      </c>
    </row>
    <row r="111" spans="1:7" x14ac:dyDescent="0.25">
      <c r="A111" s="9" t="s">
        <v>100</v>
      </c>
      <c r="B111" s="12">
        <f>'2. Indirect Cost Savings'!B85</f>
        <v>675373.82604457438</v>
      </c>
      <c r="C111" s="12">
        <f>'2. Indirect Cost Savings'!C85</f>
        <v>675373.82604457438</v>
      </c>
      <c r="D111" s="171">
        <f>'2. Indirect Cost Savings'!D85</f>
        <v>675373.82604457438</v>
      </c>
      <c r="E111" s="176">
        <f t="shared" si="58"/>
        <v>5563.6693800525118</v>
      </c>
      <c r="F111" s="176">
        <f t="shared" si="59"/>
        <v>5563.6693800525118</v>
      </c>
      <c r="G111" s="176">
        <f t="shared" si="60"/>
        <v>5563.6693800525118</v>
      </c>
    </row>
    <row r="112" spans="1:7" x14ac:dyDescent="0.25">
      <c r="A112" s="3" t="s">
        <v>54</v>
      </c>
      <c r="B112" s="12">
        <f>'2. Indirect Cost Savings'!B86</f>
        <v>881989.78604457434</v>
      </c>
      <c r="C112" s="12">
        <f>'2. Indirect Cost Savings'!C86</f>
        <v>803868.74604457442</v>
      </c>
      <c r="D112" s="171">
        <f>'2. Indirect Cost Savings'!D86</f>
        <v>934223.29604457435</v>
      </c>
      <c r="E112" s="176">
        <f t="shared" si="58"/>
        <v>7265.753241985125</v>
      </c>
      <c r="F112" s="176">
        <f t="shared" si="59"/>
        <v>6622.1990777211831</v>
      </c>
      <c r="G112" s="176">
        <f t="shared" si="60"/>
        <v>7696.0482415732295</v>
      </c>
    </row>
    <row r="113" spans="1:7" x14ac:dyDescent="0.25">
      <c r="B113" s="6"/>
      <c r="C113" s="6"/>
      <c r="D113" s="121"/>
    </row>
    <row r="114" spans="1:7" x14ac:dyDescent="0.25">
      <c r="A114" s="3" t="s">
        <v>55</v>
      </c>
      <c r="B114" s="6">
        <f>'3. Intangible Cost Savings'!B20</f>
        <v>1200000</v>
      </c>
      <c r="C114" s="6">
        <f>'3. Intangible Cost Savings'!C20</f>
        <v>604591.80000000005</v>
      </c>
      <c r="D114" s="164">
        <f>'3. Intangible Cost Savings'!D20</f>
        <v>2171429</v>
      </c>
      <c r="E114" s="176">
        <f t="shared" ref="E114" si="61">B114/$F$1</f>
        <v>9885.4930389653182</v>
      </c>
      <c r="F114" s="176">
        <f t="shared" ref="F114" si="62">C114/$F$1</f>
        <v>4980.5733585962607</v>
      </c>
      <c r="G114" s="176">
        <f t="shared" ref="G114" si="63">D114/$F$1</f>
        <v>17888.038553422852</v>
      </c>
    </row>
    <row r="115" spans="1:7" x14ac:dyDescent="0.25">
      <c r="B115" s="6"/>
      <c r="C115" s="6"/>
      <c r="D115" s="121"/>
    </row>
    <row r="116" spans="1:7" x14ac:dyDescent="0.25">
      <c r="A116" s="3" t="s">
        <v>56</v>
      </c>
      <c r="B116" s="6">
        <f>'4. Provider Cost Difference'!B71</f>
        <v>888777.7</v>
      </c>
      <c r="C116" s="6">
        <f>'4. Provider Cost Difference'!C71</f>
        <v>796726.3</v>
      </c>
      <c r="D116" s="164">
        <f>'4. Provider Cost Difference'!D71</f>
        <v>500521.80000000005</v>
      </c>
      <c r="E116" s="176">
        <f t="shared" ref="E116" si="64">B116/$F$1</f>
        <v>7321.6714721146709</v>
      </c>
      <c r="F116" s="176">
        <f t="shared" ref="F116" si="65">C116/$F$1</f>
        <v>6563.3602438421622</v>
      </c>
      <c r="G116" s="176">
        <f t="shared" ref="G116" si="66">D116/$F$1</f>
        <v>4123.2539747919927</v>
      </c>
    </row>
    <row r="117" spans="1:7" x14ac:dyDescent="0.25">
      <c r="B117" s="6"/>
      <c r="C117" s="6"/>
      <c r="D117" s="121"/>
    </row>
    <row r="118" spans="1:7" ht="15.6" thickBot="1" x14ac:dyDescent="0.3">
      <c r="A118" s="58" t="s">
        <v>60</v>
      </c>
      <c r="B118" s="86">
        <f>SUM(B106,B112,B114,B116)</f>
        <v>3844820.8260445744</v>
      </c>
      <c r="C118" s="86">
        <f t="shared" ref="C118:D118" si="67">SUM(C106,C112,C114,C116)</f>
        <v>3281510.1960445745</v>
      </c>
      <c r="D118" s="174">
        <f t="shared" si="67"/>
        <v>4436015.4060445745</v>
      </c>
      <c r="E118" s="174">
        <f t="shared" ref="E118" si="68">B118/$F$1</f>
        <v>31673.29125994377</v>
      </c>
      <c r="F118" s="174">
        <f t="shared" ref="F118" si="69">C118/$F$1</f>
        <v>27032.788500243631</v>
      </c>
      <c r="G118" s="174">
        <f t="shared" ref="G118" si="70">D118/$F$1</f>
        <v>36543.499514330462</v>
      </c>
    </row>
    <row r="119" spans="1:7" ht="14.4" thickTop="1" x14ac:dyDescent="0.25">
      <c r="B119" s="3"/>
      <c r="D119" s="3"/>
    </row>
    <row r="120" spans="1:7" x14ac:dyDescent="0.25">
      <c r="B120" s="3"/>
      <c r="D120" s="3"/>
    </row>
    <row r="121" spans="1:7" x14ac:dyDescent="0.25">
      <c r="B121" s="3"/>
      <c r="D121" s="3"/>
    </row>
    <row r="122" spans="1:7" x14ac:dyDescent="0.25">
      <c r="B122" s="3"/>
      <c r="D122" s="3"/>
    </row>
    <row r="123" spans="1:7" x14ac:dyDescent="0.25">
      <c r="B123" s="3"/>
      <c r="D123" s="3"/>
    </row>
    <row r="124" spans="1:7" x14ac:dyDescent="0.25">
      <c r="B124" s="3"/>
      <c r="D124" s="3"/>
    </row>
    <row r="125" spans="1:7" x14ac:dyDescent="0.25">
      <c r="B125" s="3"/>
      <c r="D125" s="3"/>
    </row>
    <row r="126" spans="1:7" x14ac:dyDescent="0.25">
      <c r="B126" s="3"/>
      <c r="D126" s="3"/>
    </row>
    <row r="127" spans="1:7" x14ac:dyDescent="0.25">
      <c r="B127" s="3"/>
      <c r="D127" s="3"/>
    </row>
    <row r="128" spans="1:7" x14ac:dyDescent="0.25">
      <c r="B128" s="3"/>
      <c r="D128" s="3"/>
    </row>
    <row r="129" spans="5:7" s="3" customFormat="1" x14ac:dyDescent="0.25">
      <c r="E129" s="175"/>
      <c r="F129" s="175"/>
      <c r="G129" s="175"/>
    </row>
    <row r="130" spans="5:7" s="3" customFormat="1" x14ac:dyDescent="0.25">
      <c r="E130" s="175"/>
      <c r="F130" s="175"/>
      <c r="G130" s="175"/>
    </row>
    <row r="131" spans="5:7" s="3" customFormat="1" x14ac:dyDescent="0.25">
      <c r="E131" s="175"/>
      <c r="F131" s="175"/>
      <c r="G131" s="175"/>
    </row>
    <row r="132" spans="5:7" s="3" customFormat="1" x14ac:dyDescent="0.25">
      <c r="E132" s="175"/>
      <c r="F132" s="175"/>
      <c r="G132" s="175"/>
    </row>
    <row r="133" spans="5:7" s="3" customFormat="1" x14ac:dyDescent="0.25">
      <c r="E133" s="175"/>
      <c r="F133" s="175"/>
      <c r="G133" s="175"/>
    </row>
    <row r="134" spans="5:7" s="3" customFormat="1" x14ac:dyDescent="0.25">
      <c r="E134" s="175"/>
      <c r="F134" s="175"/>
      <c r="G134" s="175"/>
    </row>
    <row r="135" spans="5:7" s="3" customFormat="1" x14ac:dyDescent="0.25">
      <c r="E135" s="175"/>
      <c r="F135" s="175"/>
      <c r="G135" s="175"/>
    </row>
    <row r="136" spans="5:7" s="3" customFormat="1" x14ac:dyDescent="0.25">
      <c r="E136" s="175"/>
      <c r="F136" s="175"/>
      <c r="G136" s="175"/>
    </row>
    <row r="137" spans="5:7" s="3" customFormat="1" x14ac:dyDescent="0.25">
      <c r="E137" s="175"/>
      <c r="F137" s="175"/>
      <c r="G137" s="175"/>
    </row>
    <row r="138" spans="5:7" s="3" customFormat="1" x14ac:dyDescent="0.25">
      <c r="E138" s="175"/>
      <c r="F138" s="175"/>
      <c r="G138" s="175"/>
    </row>
    <row r="139" spans="5:7" s="3" customFormat="1" x14ac:dyDescent="0.25">
      <c r="E139" s="175"/>
      <c r="F139" s="175"/>
      <c r="G139" s="175"/>
    </row>
    <row r="140" spans="5:7" s="3" customFormat="1" x14ac:dyDescent="0.25">
      <c r="E140" s="175"/>
      <c r="F140" s="175"/>
      <c r="G140" s="175"/>
    </row>
    <row r="141" spans="5:7" s="3" customFormat="1" x14ac:dyDescent="0.25">
      <c r="E141" s="175"/>
      <c r="F141" s="175"/>
      <c r="G141" s="175"/>
    </row>
    <row r="142" spans="5:7" s="3" customFormat="1" x14ac:dyDescent="0.25">
      <c r="E142" s="175"/>
      <c r="F142" s="175"/>
      <c r="G142" s="175"/>
    </row>
    <row r="143" spans="5:7" s="3" customFormat="1" x14ac:dyDescent="0.25">
      <c r="E143" s="175"/>
      <c r="F143" s="175"/>
      <c r="G143" s="175"/>
    </row>
    <row r="144" spans="5:7" s="3" customFormat="1" x14ac:dyDescent="0.25">
      <c r="E144" s="175"/>
      <c r="F144" s="175"/>
      <c r="G144" s="175"/>
    </row>
    <row r="145" spans="5:7" s="3" customFormat="1" x14ac:dyDescent="0.25">
      <c r="E145" s="175"/>
      <c r="F145" s="175"/>
      <c r="G145" s="175"/>
    </row>
    <row r="146" spans="5:7" s="3" customFormat="1" x14ac:dyDescent="0.25">
      <c r="E146" s="175"/>
      <c r="F146" s="175"/>
      <c r="G146" s="175"/>
    </row>
    <row r="147" spans="5:7" s="3" customFormat="1" x14ac:dyDescent="0.25">
      <c r="E147" s="175"/>
      <c r="F147" s="175"/>
      <c r="G147" s="175"/>
    </row>
    <row r="148" spans="5:7" s="3" customFormat="1" x14ac:dyDescent="0.25">
      <c r="E148" s="175"/>
      <c r="F148" s="175"/>
      <c r="G148" s="175"/>
    </row>
    <row r="149" spans="5:7" s="3" customFormat="1" x14ac:dyDescent="0.25">
      <c r="E149" s="175"/>
      <c r="F149" s="175"/>
      <c r="G149" s="175"/>
    </row>
    <row r="150" spans="5:7" s="3" customFormat="1" x14ac:dyDescent="0.25">
      <c r="E150" s="175"/>
      <c r="F150" s="175"/>
      <c r="G150" s="175"/>
    </row>
    <row r="151" spans="5:7" s="3" customFormat="1" x14ac:dyDescent="0.25">
      <c r="E151" s="175"/>
      <c r="F151" s="175"/>
      <c r="G151" s="175"/>
    </row>
    <row r="152" spans="5:7" s="3" customFormat="1" x14ac:dyDescent="0.25">
      <c r="E152" s="175"/>
      <c r="F152" s="175"/>
      <c r="G152" s="175"/>
    </row>
    <row r="153" spans="5:7" s="3" customFormat="1" x14ac:dyDescent="0.25">
      <c r="E153" s="175"/>
      <c r="F153" s="175"/>
      <c r="G153" s="175"/>
    </row>
    <row r="154" spans="5:7" s="3" customFormat="1" x14ac:dyDescent="0.25">
      <c r="E154" s="175"/>
      <c r="F154" s="175"/>
      <c r="G154" s="175"/>
    </row>
    <row r="155" spans="5:7" s="3" customFormat="1" x14ac:dyDescent="0.25">
      <c r="E155" s="175"/>
      <c r="F155" s="175"/>
      <c r="G155" s="175"/>
    </row>
    <row r="156" spans="5:7" s="3" customFormat="1" x14ac:dyDescent="0.25">
      <c r="E156" s="175"/>
      <c r="F156" s="175"/>
      <c r="G156" s="175"/>
    </row>
    <row r="157" spans="5:7" s="3" customFormat="1" x14ac:dyDescent="0.25">
      <c r="E157" s="175"/>
      <c r="F157" s="175"/>
      <c r="G157" s="175"/>
    </row>
    <row r="158" spans="5:7" s="3" customFormat="1" x14ac:dyDescent="0.25">
      <c r="E158" s="175"/>
      <c r="F158" s="175"/>
      <c r="G158" s="175"/>
    </row>
    <row r="159" spans="5:7" s="3" customFormat="1" x14ac:dyDescent="0.25">
      <c r="E159" s="175"/>
      <c r="F159" s="175"/>
      <c r="G159" s="175"/>
    </row>
    <row r="160" spans="5:7" s="3" customFormat="1" x14ac:dyDescent="0.25">
      <c r="E160" s="175"/>
      <c r="F160" s="175"/>
      <c r="G160" s="175"/>
    </row>
    <row r="161" spans="5:7" s="3" customFormat="1" x14ac:dyDescent="0.25">
      <c r="E161" s="175"/>
      <c r="F161" s="175"/>
      <c r="G161" s="175"/>
    </row>
    <row r="162" spans="5:7" s="3" customFormat="1" x14ac:dyDescent="0.25">
      <c r="E162" s="175"/>
      <c r="F162" s="175"/>
      <c r="G162" s="175"/>
    </row>
    <row r="163" spans="5:7" s="3" customFormat="1" x14ac:dyDescent="0.25">
      <c r="E163" s="175"/>
      <c r="F163" s="175"/>
      <c r="G163" s="175"/>
    </row>
    <row r="164" spans="5:7" s="3" customFormat="1" x14ac:dyDescent="0.25">
      <c r="E164" s="175"/>
      <c r="F164" s="175"/>
      <c r="G164" s="175"/>
    </row>
    <row r="165" spans="5:7" s="3" customFormat="1" x14ac:dyDescent="0.25">
      <c r="E165" s="175"/>
      <c r="F165" s="175"/>
      <c r="G165" s="175"/>
    </row>
    <row r="166" spans="5:7" s="3" customFormat="1" x14ac:dyDescent="0.25">
      <c r="E166" s="175"/>
      <c r="F166" s="175"/>
      <c r="G166" s="175"/>
    </row>
    <row r="167" spans="5:7" s="3" customFormat="1" x14ac:dyDescent="0.25">
      <c r="E167" s="175"/>
      <c r="F167" s="175"/>
      <c r="G167" s="175"/>
    </row>
    <row r="168" spans="5:7" s="3" customFormat="1" x14ac:dyDescent="0.25">
      <c r="E168" s="175"/>
      <c r="F168" s="175"/>
      <c r="G168" s="175"/>
    </row>
    <row r="169" spans="5:7" s="3" customFormat="1" x14ac:dyDescent="0.25">
      <c r="E169" s="175"/>
      <c r="F169" s="175"/>
      <c r="G169" s="175"/>
    </row>
    <row r="170" spans="5:7" s="3" customFormat="1" x14ac:dyDescent="0.25">
      <c r="E170" s="175"/>
      <c r="F170" s="175"/>
      <c r="G170" s="175"/>
    </row>
    <row r="171" spans="5:7" s="3" customFormat="1" x14ac:dyDescent="0.25">
      <c r="E171" s="175"/>
      <c r="F171" s="175"/>
      <c r="G171" s="175"/>
    </row>
    <row r="172" spans="5:7" s="3" customFormat="1" x14ac:dyDescent="0.25">
      <c r="E172" s="175"/>
      <c r="F172" s="175"/>
      <c r="G172" s="175"/>
    </row>
    <row r="173" spans="5:7" s="3" customFormat="1" x14ac:dyDescent="0.25">
      <c r="E173" s="175"/>
      <c r="F173" s="175"/>
      <c r="G173" s="175"/>
    </row>
    <row r="174" spans="5:7" s="3" customFormat="1" x14ac:dyDescent="0.25">
      <c r="E174" s="175"/>
      <c r="F174" s="175"/>
      <c r="G174" s="175"/>
    </row>
    <row r="175" spans="5:7" s="3" customFormat="1" x14ac:dyDescent="0.25">
      <c r="E175" s="175"/>
      <c r="F175" s="175"/>
      <c r="G175" s="175"/>
    </row>
    <row r="176" spans="5:7" s="3" customFormat="1" x14ac:dyDescent="0.25">
      <c r="E176" s="175"/>
      <c r="F176" s="175"/>
      <c r="G176" s="175"/>
    </row>
    <row r="177" spans="5:7" s="3" customFormat="1" x14ac:dyDescent="0.25">
      <c r="E177" s="175"/>
      <c r="F177" s="175"/>
      <c r="G177" s="175"/>
    </row>
    <row r="178" spans="5:7" s="3" customFormat="1" x14ac:dyDescent="0.25">
      <c r="E178" s="175"/>
      <c r="F178" s="175"/>
      <c r="G178" s="175"/>
    </row>
    <row r="179" spans="5:7" s="3" customFormat="1" x14ac:dyDescent="0.25">
      <c r="E179" s="175"/>
      <c r="F179" s="175"/>
      <c r="G179" s="175"/>
    </row>
    <row r="180" spans="5:7" s="3" customFormat="1" x14ac:dyDescent="0.25">
      <c r="E180" s="175"/>
      <c r="F180" s="175"/>
      <c r="G180" s="175"/>
    </row>
    <row r="181" spans="5:7" s="3" customFormat="1" x14ac:dyDescent="0.25">
      <c r="E181" s="175"/>
      <c r="F181" s="175"/>
      <c r="G181" s="175"/>
    </row>
    <row r="182" spans="5:7" s="3" customFormat="1" x14ac:dyDescent="0.25">
      <c r="E182" s="175"/>
      <c r="F182" s="175"/>
      <c r="G182" s="175"/>
    </row>
    <row r="183" spans="5:7" s="3" customFormat="1" x14ac:dyDescent="0.25">
      <c r="E183" s="175"/>
      <c r="F183" s="175"/>
      <c r="G183" s="175"/>
    </row>
  </sheetData>
  <mergeCells count="10">
    <mergeCell ref="B79:D79"/>
    <mergeCell ref="E79:G79"/>
    <mergeCell ref="B100:D100"/>
    <mergeCell ref="E100:G100"/>
    <mergeCell ref="B4:D4"/>
    <mergeCell ref="E4:G4"/>
    <mergeCell ref="B30:D30"/>
    <mergeCell ref="E30:G30"/>
    <mergeCell ref="B54:D54"/>
    <mergeCell ref="E54:G54"/>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75BB9-1B3B-4CFD-AB83-F7BE5215EF4B}">
  <sheetPr codeName="Sheet9"/>
  <dimension ref="A1:S22"/>
  <sheetViews>
    <sheetView topLeftCell="B1" zoomScale="70" zoomScaleNormal="70" workbookViewId="0">
      <selection activeCell="D11" sqref="D11"/>
    </sheetView>
  </sheetViews>
  <sheetFormatPr defaultColWidth="15.6640625" defaultRowHeight="13.2" x14ac:dyDescent="0.25"/>
  <cols>
    <col min="1" max="1" width="80.33203125" style="59" bestFit="1" customWidth="1"/>
    <col min="2" max="2" width="17.21875" style="59" customWidth="1"/>
    <col min="3" max="3" width="17.44140625" style="59" customWidth="1"/>
    <col min="4" max="4" width="18" style="59" customWidth="1"/>
    <col min="5" max="7" width="20.109375" style="59" customWidth="1"/>
    <col min="8" max="8" width="15.77734375" style="59" bestFit="1" customWidth="1"/>
    <col min="9" max="9" width="16.6640625" style="59" bestFit="1" customWidth="1"/>
    <col min="10" max="10" width="15.6640625" style="59"/>
    <col min="11" max="11" width="16.77734375" style="59" customWidth="1"/>
    <col min="12" max="12" width="18" style="59" customWidth="1"/>
    <col min="13" max="13" width="17.5546875" style="59" bestFit="1" customWidth="1"/>
    <col min="14" max="16384" width="15.6640625" style="59"/>
  </cols>
  <sheetData>
    <row r="1" spans="1:19" ht="16.8" customHeight="1" thickBot="1" x14ac:dyDescent="0.3">
      <c r="A1" s="88" t="s">
        <v>95</v>
      </c>
      <c r="B1" s="88"/>
      <c r="C1" s="88"/>
      <c r="D1" s="88"/>
      <c r="E1" s="88"/>
      <c r="F1" s="88"/>
      <c r="G1" s="88"/>
      <c r="H1" s="88"/>
      <c r="I1" s="88"/>
      <c r="J1" s="88"/>
    </row>
    <row r="2" spans="1:19" ht="16.8" customHeight="1" thickTop="1" x14ac:dyDescent="0.25">
      <c r="A2" s="89"/>
      <c r="B2" s="215" t="s">
        <v>200</v>
      </c>
      <c r="C2" s="215"/>
      <c r="D2" s="215"/>
      <c r="E2" s="216"/>
      <c r="F2" s="217" t="s">
        <v>201</v>
      </c>
      <c r="G2" s="215"/>
      <c r="H2" s="215"/>
      <c r="I2" s="216"/>
      <c r="J2" s="89"/>
    </row>
    <row r="3" spans="1:19" x14ac:dyDescent="0.25">
      <c r="B3" s="178" t="s">
        <v>14</v>
      </c>
      <c r="C3" s="178" t="s">
        <v>16</v>
      </c>
      <c r="D3" s="178" t="s">
        <v>15</v>
      </c>
      <c r="E3" s="179" t="s">
        <v>42</v>
      </c>
      <c r="F3" s="183" t="s">
        <v>14</v>
      </c>
      <c r="G3" s="178" t="s">
        <v>16</v>
      </c>
      <c r="H3" s="178" t="s">
        <v>15</v>
      </c>
      <c r="I3" s="179" t="s">
        <v>42</v>
      </c>
      <c r="J3" s="71" t="s">
        <v>43</v>
      </c>
    </row>
    <row r="4" spans="1:19" x14ac:dyDescent="0.25">
      <c r="A4" s="62" t="s">
        <v>67</v>
      </c>
      <c r="B4" s="180">
        <f>'6. Societal Costs'!B49</f>
        <v>4633640.5313239777</v>
      </c>
      <c r="C4" s="180">
        <f>'6. Societal Costs'!C49</f>
        <v>2526619.2669502809</v>
      </c>
      <c r="D4" s="180">
        <f>'6. Societal Costs'!D49</f>
        <v>4200715.7009039335</v>
      </c>
      <c r="E4" s="181"/>
      <c r="F4" s="184">
        <f>B4/$F$14</f>
        <v>38171.517681225618</v>
      </c>
      <c r="G4" s="60">
        <f t="shared" ref="G4:H4" si="0">C4/$F$14</f>
        <v>20814.064312960549</v>
      </c>
      <c r="H4" s="60">
        <f t="shared" si="0"/>
        <v>34605.121516631792</v>
      </c>
      <c r="I4" s="185"/>
      <c r="J4" s="70"/>
    </row>
    <row r="5" spans="1:19" ht="14.4" customHeight="1" x14ac:dyDescent="0.25">
      <c r="A5" s="63"/>
      <c r="C5" s="69" t="s">
        <v>41</v>
      </c>
      <c r="E5" s="181"/>
      <c r="F5" s="184"/>
      <c r="G5" s="60"/>
      <c r="H5" s="60"/>
      <c r="I5" s="185"/>
      <c r="J5" s="70" t="s">
        <v>181</v>
      </c>
    </row>
    <row r="6" spans="1:19" x14ac:dyDescent="0.25">
      <c r="A6" s="63" t="s">
        <v>68</v>
      </c>
      <c r="B6" s="64">
        <v>16083</v>
      </c>
      <c r="C6" s="64">
        <v>12989</v>
      </c>
      <c r="D6" s="64">
        <v>9640</v>
      </c>
      <c r="E6" s="181"/>
      <c r="F6" s="184"/>
      <c r="G6" s="60"/>
      <c r="H6" s="60"/>
      <c r="I6" s="185"/>
      <c r="J6" s="59" t="s">
        <v>176</v>
      </c>
    </row>
    <row r="7" spans="1:19" x14ac:dyDescent="0.25">
      <c r="A7" s="65" t="s">
        <v>62</v>
      </c>
      <c r="B7" s="66">
        <f>PRODUCT(B4,B6)</f>
        <v>74522840665.283539</v>
      </c>
      <c r="C7" s="66">
        <f t="shared" ref="C7:D7" si="1">PRODUCT(C4,C6)</f>
        <v>32818257658.417198</v>
      </c>
      <c r="D7" s="66">
        <f t="shared" si="1"/>
        <v>40494899356.713921</v>
      </c>
      <c r="E7" s="182">
        <f>SUM(B7:D7)</f>
        <v>147835997680.41467</v>
      </c>
      <c r="F7" s="184">
        <f t="shared" ref="F7:H7" si="2">B7/$F$14</f>
        <v>613912518.86715162</v>
      </c>
      <c r="G7" s="60">
        <f t="shared" si="2"/>
        <v>270353881.36104453</v>
      </c>
      <c r="H7" s="60">
        <f t="shared" si="2"/>
        <v>333593371.42033052</v>
      </c>
      <c r="I7" s="186">
        <f>E7/$F$14</f>
        <v>1217859771.6485269</v>
      </c>
    </row>
    <row r="8" spans="1:19" x14ac:dyDescent="0.25">
      <c r="A8" s="90" t="s">
        <v>69</v>
      </c>
      <c r="B8" s="91">
        <f>(B6)/40190</f>
        <v>0.40017417267977107</v>
      </c>
      <c r="C8" s="91">
        <f xml:space="preserve"> (C6)/35269</f>
        <v>0.36828376194391677</v>
      </c>
      <c r="D8" s="91">
        <f xml:space="preserve"> (D6)/26698</f>
        <v>0.36107573601018805</v>
      </c>
      <c r="E8" s="181"/>
      <c r="F8" s="184"/>
      <c r="G8" s="60"/>
      <c r="H8" s="60"/>
      <c r="I8" s="185"/>
      <c r="J8" s="59" t="s">
        <v>177</v>
      </c>
    </row>
    <row r="9" spans="1:19" x14ac:dyDescent="0.25">
      <c r="A9" s="63" t="s">
        <v>70</v>
      </c>
      <c r="B9" s="68">
        <v>0.28999999999999998</v>
      </c>
      <c r="C9" s="68">
        <v>0.25</v>
      </c>
      <c r="D9" s="68">
        <v>0.41</v>
      </c>
      <c r="E9" s="181"/>
      <c r="F9" s="184"/>
      <c r="G9" s="60"/>
      <c r="H9" s="60"/>
      <c r="I9" s="185"/>
      <c r="J9" s="59" t="s">
        <v>184</v>
      </c>
      <c r="S9" s="59" t="s">
        <v>224</v>
      </c>
    </row>
    <row r="10" spans="1:19" x14ac:dyDescent="0.25">
      <c r="A10" s="63" t="s">
        <v>72</v>
      </c>
      <c r="B10" s="180">
        <f>(B9*B6)</f>
        <v>4664.07</v>
      </c>
      <c r="C10" s="180">
        <f>(C9*C6)</f>
        <v>3247.25</v>
      </c>
      <c r="D10" s="180">
        <f>(D9*D6)</f>
        <v>3952.3999999999996</v>
      </c>
      <c r="E10" s="181"/>
      <c r="F10" s="184"/>
      <c r="G10" s="60"/>
      <c r="H10" s="60"/>
      <c r="I10" s="185"/>
      <c r="J10" s="59" t="s">
        <v>178</v>
      </c>
    </row>
    <row r="11" spans="1:19" x14ac:dyDescent="0.25">
      <c r="A11" s="63" t="s">
        <v>71</v>
      </c>
      <c r="B11" s="60">
        <f>PRODUCT(B10,B4)</f>
        <v>21611623792.932224</v>
      </c>
      <c r="C11" s="60">
        <f t="shared" ref="C11:D11" si="3">PRODUCT(C10,C4)</f>
        <v>8204564414.6042995</v>
      </c>
      <c r="D11" s="60">
        <f t="shared" si="3"/>
        <v>16602908736.252705</v>
      </c>
      <c r="E11" s="182">
        <f>SUM(B11:D11)</f>
        <v>46419096943.78923</v>
      </c>
      <c r="F11" s="184">
        <f t="shared" ref="F11:I11" si="4">B11/$F$14</f>
        <v>178034630.47147396</v>
      </c>
      <c r="G11" s="60">
        <f t="shared" si="4"/>
        <v>67588470.340261132</v>
      </c>
      <c r="H11" s="60">
        <f t="shared" si="4"/>
        <v>136773282.28233549</v>
      </c>
      <c r="I11" s="186">
        <f t="shared" si="4"/>
        <v>382396383.09407061</v>
      </c>
      <c r="J11" s="59" t="s">
        <v>183</v>
      </c>
    </row>
    <row r="12" spans="1:19" x14ac:dyDescent="0.25">
      <c r="B12" s="61"/>
      <c r="C12" s="60"/>
      <c r="D12" s="60"/>
      <c r="E12" s="60"/>
      <c r="F12" s="60"/>
      <c r="G12" s="60"/>
      <c r="H12" s="67"/>
      <c r="I12" s="61"/>
      <c r="J12" s="72" t="s">
        <v>185</v>
      </c>
    </row>
    <row r="13" spans="1:19" x14ac:dyDescent="0.25">
      <c r="A13" s="63"/>
      <c r="J13" s="69" t="s">
        <v>179</v>
      </c>
    </row>
    <row r="14" spans="1:19" x14ac:dyDescent="0.25">
      <c r="E14" s="59" t="s">
        <v>212</v>
      </c>
      <c r="F14" s="59">
        <v>121.39</v>
      </c>
      <c r="J14" s="70" t="s">
        <v>65</v>
      </c>
    </row>
    <row r="15" spans="1:19" x14ac:dyDescent="0.25">
      <c r="J15" s="59" t="s">
        <v>66</v>
      </c>
    </row>
    <row r="16" spans="1:19" x14ac:dyDescent="0.25">
      <c r="J16" s="70" t="s">
        <v>180</v>
      </c>
    </row>
    <row r="17" spans="7:10" x14ac:dyDescent="0.25">
      <c r="J17" s="70" t="s">
        <v>182</v>
      </c>
    </row>
    <row r="18" spans="7:10" x14ac:dyDescent="0.25">
      <c r="J18" s="59" t="s">
        <v>186</v>
      </c>
    </row>
    <row r="19" spans="7:10" x14ac:dyDescent="0.25">
      <c r="J19" s="70"/>
    </row>
    <row r="22" spans="7:10" x14ac:dyDescent="0.25">
      <c r="G22" s="195"/>
    </row>
  </sheetData>
  <mergeCells count="2">
    <mergeCell ref="B2:E2"/>
    <mergeCell ref="F2:I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E3FA3-0E2D-4802-AB4F-9683CD8A350F}">
  <dimension ref="A1:O32"/>
  <sheetViews>
    <sheetView topLeftCell="H1" zoomScale="70" zoomScaleNormal="70" workbookViewId="0">
      <selection activeCell="N21" sqref="N21"/>
    </sheetView>
  </sheetViews>
  <sheetFormatPr defaultRowHeight="14.4" x14ac:dyDescent="0.3"/>
  <cols>
    <col min="1" max="1" width="54" bestFit="1" customWidth="1"/>
    <col min="2" max="2" width="10.5546875" bestFit="1" customWidth="1"/>
    <col min="3" max="3" width="8.33203125" bestFit="1" customWidth="1"/>
    <col min="4" max="4" width="19.6640625" bestFit="1" customWidth="1"/>
    <col min="5" max="5" width="9.5546875" bestFit="1" customWidth="1"/>
    <col min="6" max="6" width="23.33203125" bestFit="1" customWidth="1"/>
    <col min="7" max="7" width="23.44140625" bestFit="1" customWidth="1"/>
    <col min="8" max="8" width="7.44140625" customWidth="1"/>
    <col min="9" max="9" width="8" bestFit="1" customWidth="1"/>
    <col min="10" max="10" width="8.33203125" customWidth="1"/>
    <col min="11" max="11" width="22.77734375" bestFit="1" customWidth="1"/>
    <col min="12" max="12" width="28.33203125" bestFit="1" customWidth="1"/>
    <col min="13" max="13" width="30.21875" customWidth="1"/>
    <col min="14" max="14" width="12.44140625" bestFit="1" customWidth="1"/>
  </cols>
  <sheetData>
    <row r="1" spans="1:15" ht="15" thickBot="1" x14ac:dyDescent="0.35">
      <c r="A1" s="218" t="s">
        <v>193</v>
      </c>
      <c r="B1" s="219"/>
      <c r="C1" s="219"/>
      <c r="D1" s="219"/>
      <c r="E1" s="219"/>
      <c r="F1" s="219"/>
      <c r="G1" s="220"/>
      <c r="J1" s="218" t="s">
        <v>199</v>
      </c>
      <c r="K1" s="219"/>
      <c r="L1" s="219"/>
      <c r="M1" s="220"/>
      <c r="N1" s="193" t="s">
        <v>212</v>
      </c>
      <c r="O1" s="194">
        <v>121.39</v>
      </c>
    </row>
    <row r="2" spans="1:15" x14ac:dyDescent="0.3">
      <c r="A2" s="102" t="s">
        <v>195</v>
      </c>
      <c r="B2" s="99">
        <f>'7. National Cost Savings'!B6</f>
        <v>16083</v>
      </c>
      <c r="C2" s="97" t="s">
        <v>189</v>
      </c>
      <c r="D2" s="97" t="s">
        <v>190</v>
      </c>
      <c r="E2" s="97" t="s">
        <v>191</v>
      </c>
      <c r="F2" s="97" t="s">
        <v>213</v>
      </c>
      <c r="G2" s="189" t="s">
        <v>214</v>
      </c>
      <c r="J2" s="116" t="s">
        <v>189</v>
      </c>
      <c r="K2" s="117" t="s">
        <v>190</v>
      </c>
      <c r="L2" s="190" t="s">
        <v>216</v>
      </c>
      <c r="M2" s="189" t="s">
        <v>215</v>
      </c>
    </row>
    <row r="3" spans="1:15" x14ac:dyDescent="0.3">
      <c r="A3" s="104" t="s">
        <v>194</v>
      </c>
      <c r="B3" s="100">
        <f>'7. National Cost Savings'!B4</f>
        <v>4633640.5313239777</v>
      </c>
      <c r="C3" s="94">
        <v>1</v>
      </c>
      <c r="D3" s="95">
        <v>0.05</v>
      </c>
      <c r="E3" s="96">
        <f t="shared" ref="E3:E10" si="0">$B$2*D3</f>
        <v>804.15000000000009</v>
      </c>
      <c r="F3" s="96">
        <f t="shared" ref="F3:F10" si="1">$B$3*E3</f>
        <v>3726142033.2641773</v>
      </c>
      <c r="G3" s="105">
        <f>F3/$O$1</f>
        <v>30695625.943357587</v>
      </c>
      <c r="J3" s="114">
        <v>1</v>
      </c>
      <c r="K3" s="95">
        <v>0.05</v>
      </c>
      <c r="L3" s="191">
        <f>SUM(F3,F14,F25)</f>
        <v>7391799884.0207338</v>
      </c>
      <c r="M3" s="105">
        <f t="shared" ref="M3:M5" si="2">L3/$O$1</f>
        <v>60892988.582426347</v>
      </c>
    </row>
    <row r="4" spans="1:15" x14ac:dyDescent="0.3">
      <c r="A4" s="106" t="s">
        <v>196</v>
      </c>
      <c r="B4" s="101">
        <f>'7. National Cost Savings'!B9</f>
        <v>0.28999999999999998</v>
      </c>
      <c r="C4" s="94">
        <v>2</v>
      </c>
      <c r="D4" s="95">
        <v>0.1</v>
      </c>
      <c r="E4" s="96">
        <f t="shared" si="0"/>
        <v>1608.3000000000002</v>
      </c>
      <c r="F4" s="96">
        <f t="shared" si="1"/>
        <v>7452284066.5283546</v>
      </c>
      <c r="G4" s="105">
        <f t="shared" ref="G4:G10" si="3">F4/$O$1</f>
        <v>61391251.886715174</v>
      </c>
      <c r="J4" s="114">
        <v>2</v>
      </c>
      <c r="K4" s="95">
        <v>0.1</v>
      </c>
      <c r="L4" s="191">
        <f>SUM(F4,F15,F26)</f>
        <v>14783599768.041468</v>
      </c>
      <c r="M4" s="105">
        <f t="shared" si="2"/>
        <v>121785977.16485269</v>
      </c>
    </row>
    <row r="5" spans="1:15" x14ac:dyDescent="0.3">
      <c r="A5" s="107"/>
      <c r="B5" s="188"/>
      <c r="C5" s="97">
        <v>3</v>
      </c>
      <c r="D5" s="95">
        <v>0.2</v>
      </c>
      <c r="E5" s="96">
        <f t="shared" si="0"/>
        <v>3216.6000000000004</v>
      </c>
      <c r="F5" s="96">
        <f t="shared" si="1"/>
        <v>14904568133.056709</v>
      </c>
      <c r="G5" s="105">
        <f t="shared" si="3"/>
        <v>122782503.77343035</v>
      </c>
      <c r="J5" s="114">
        <v>3</v>
      </c>
      <c r="K5" s="95">
        <v>0.2</v>
      </c>
      <c r="L5" s="191">
        <f>SUM(F5,F16,F27)</f>
        <v>29567199536.082935</v>
      </c>
      <c r="M5" s="105">
        <f t="shared" si="2"/>
        <v>243571954.32970539</v>
      </c>
    </row>
    <row r="6" spans="1:15" x14ac:dyDescent="0.3">
      <c r="A6" s="107"/>
      <c r="B6" s="98"/>
      <c r="C6" s="94">
        <v>4</v>
      </c>
      <c r="D6" s="95">
        <v>0.28999999999999998</v>
      </c>
      <c r="E6" s="96">
        <f t="shared" si="0"/>
        <v>4664.07</v>
      </c>
      <c r="F6" s="96">
        <f t="shared" si="1"/>
        <v>21611623792.932224</v>
      </c>
      <c r="G6" s="105">
        <f t="shared" si="3"/>
        <v>178034630.47147396</v>
      </c>
      <c r="J6" s="114">
        <v>5</v>
      </c>
      <c r="K6" s="95">
        <v>0.5</v>
      </c>
      <c r="L6" s="191">
        <f>SUM(F7,F18,F29)</f>
        <v>73917998840.207336</v>
      </c>
      <c r="M6" s="105">
        <f>L6/$O$1</f>
        <v>608929885.82426345</v>
      </c>
    </row>
    <row r="7" spans="1:15" x14ac:dyDescent="0.3">
      <c r="A7" s="107"/>
      <c r="B7" s="98"/>
      <c r="C7" s="94">
        <v>5</v>
      </c>
      <c r="D7" s="95">
        <v>0.5</v>
      </c>
      <c r="E7" s="96">
        <f t="shared" si="0"/>
        <v>8041.5</v>
      </c>
      <c r="F7" s="96">
        <f>$B$3*E7</f>
        <v>37261420332.641769</v>
      </c>
      <c r="G7" s="105">
        <f t="shared" si="3"/>
        <v>306956259.43357581</v>
      </c>
      <c r="J7" s="114">
        <v>6</v>
      </c>
      <c r="K7" s="95">
        <v>0.7</v>
      </c>
      <c r="L7" s="191">
        <f>SUM(F8,F19,F30)</f>
        <v>103485198376.29024</v>
      </c>
      <c r="M7" s="105">
        <f>L7/$O$1</f>
        <v>852501840.15396845</v>
      </c>
    </row>
    <row r="8" spans="1:15" x14ac:dyDescent="0.3">
      <c r="A8" s="107"/>
      <c r="B8" s="98"/>
      <c r="C8" s="94">
        <v>6</v>
      </c>
      <c r="D8" s="95">
        <v>0.7</v>
      </c>
      <c r="E8" s="96">
        <f t="shared" si="0"/>
        <v>11258.099999999999</v>
      </c>
      <c r="F8" s="96">
        <f t="shared" si="1"/>
        <v>52165988465.698463</v>
      </c>
      <c r="G8" s="105">
        <f t="shared" si="3"/>
        <v>429738763.20700604</v>
      </c>
      <c r="J8" s="114">
        <v>7</v>
      </c>
      <c r="K8" s="95">
        <v>0.8</v>
      </c>
      <c r="L8" s="191">
        <f>SUM(F9,F20,F31)</f>
        <v>118268798144.33174</v>
      </c>
      <c r="M8" s="105">
        <f>L8/$O$1</f>
        <v>974287817.31882155</v>
      </c>
    </row>
    <row r="9" spans="1:15" ht="15" thickBot="1" x14ac:dyDescent="0.35">
      <c r="A9" s="107"/>
      <c r="B9" s="98"/>
      <c r="C9" s="94">
        <v>7</v>
      </c>
      <c r="D9" s="95">
        <v>0.8</v>
      </c>
      <c r="E9" s="96">
        <f t="shared" si="0"/>
        <v>12866.400000000001</v>
      </c>
      <c r="F9" s="96">
        <f t="shared" si="1"/>
        <v>59618272532.226837</v>
      </c>
      <c r="G9" s="105">
        <f t="shared" si="3"/>
        <v>491130015.09372139</v>
      </c>
      <c r="J9" s="115">
        <v>8</v>
      </c>
      <c r="K9" s="111">
        <v>0.9</v>
      </c>
      <c r="L9" s="192">
        <f>SUM(F10,F21,F32)</f>
        <v>133052397912.37318</v>
      </c>
      <c r="M9" s="113">
        <f>L9/$O$1</f>
        <v>1096073794.483674</v>
      </c>
    </row>
    <row r="10" spans="1:15" ht="15" thickBot="1" x14ac:dyDescent="0.35">
      <c r="A10" s="108"/>
      <c r="B10" s="109"/>
      <c r="C10" s="110">
        <v>8</v>
      </c>
      <c r="D10" s="111">
        <v>0.9</v>
      </c>
      <c r="E10" s="112">
        <f t="shared" si="0"/>
        <v>14474.7</v>
      </c>
      <c r="F10" s="112">
        <f t="shared" si="1"/>
        <v>67070556598.75518</v>
      </c>
      <c r="G10" s="113">
        <f t="shared" si="3"/>
        <v>552521266.98043644</v>
      </c>
    </row>
    <row r="11" spans="1:15" ht="15" thickBot="1" x14ac:dyDescent="0.35"/>
    <row r="12" spans="1:15" x14ac:dyDescent="0.3">
      <c r="A12" s="221" t="s">
        <v>197</v>
      </c>
      <c r="B12" s="222"/>
      <c r="C12" s="222"/>
      <c r="D12" s="222"/>
      <c r="E12" s="222"/>
      <c r="F12" s="222"/>
      <c r="G12" s="223"/>
    </row>
    <row r="13" spans="1:15" x14ac:dyDescent="0.3">
      <c r="A13" s="107" t="s">
        <v>195</v>
      </c>
      <c r="B13" s="187">
        <f>'7. National Cost Savings'!C6</f>
        <v>12989</v>
      </c>
      <c r="C13" s="92" t="s">
        <v>189</v>
      </c>
      <c r="D13" s="93" t="s">
        <v>190</v>
      </c>
      <c r="E13" s="93" t="s">
        <v>191</v>
      </c>
      <c r="F13" s="103" t="s">
        <v>192</v>
      </c>
      <c r="G13" s="103" t="s">
        <v>214</v>
      </c>
    </row>
    <row r="14" spans="1:15" x14ac:dyDescent="0.3">
      <c r="A14" s="104" t="s">
        <v>194</v>
      </c>
      <c r="B14" s="100">
        <f>'7. National Cost Savings'!C4</f>
        <v>2526619.2669502809</v>
      </c>
      <c r="C14" s="94">
        <v>1</v>
      </c>
      <c r="D14" s="95">
        <v>0.05</v>
      </c>
      <c r="E14" s="96">
        <f>$B$13*D14</f>
        <v>649.45000000000005</v>
      </c>
      <c r="F14" s="105">
        <f>$B$14*E14</f>
        <v>1640912882.9208601</v>
      </c>
      <c r="G14" s="105">
        <f t="shared" ref="G14:G21" si="4">F14/$O$1</f>
        <v>13517694.068052229</v>
      </c>
    </row>
    <row r="15" spans="1:15" x14ac:dyDescent="0.3">
      <c r="A15" s="106" t="s">
        <v>196</v>
      </c>
      <c r="B15" s="101">
        <f>'7. National Cost Savings'!C9</f>
        <v>0.25</v>
      </c>
      <c r="C15" s="94">
        <v>2</v>
      </c>
      <c r="D15" s="95">
        <v>0.1</v>
      </c>
      <c r="E15" s="96">
        <f t="shared" ref="E15:E21" si="5">$B$13*D15</f>
        <v>1298.9000000000001</v>
      </c>
      <c r="F15" s="105">
        <f t="shared" ref="F15:F21" si="6">$B$14*E15</f>
        <v>3281825765.8417201</v>
      </c>
      <c r="G15" s="105">
        <f t="shared" si="4"/>
        <v>27035388.136104457</v>
      </c>
    </row>
    <row r="16" spans="1:15" x14ac:dyDescent="0.3">
      <c r="A16" s="107"/>
      <c r="B16" s="188"/>
      <c r="C16" s="97">
        <v>3</v>
      </c>
      <c r="D16" s="95">
        <v>0.2</v>
      </c>
      <c r="E16" s="96">
        <f t="shared" si="5"/>
        <v>2597.8000000000002</v>
      </c>
      <c r="F16" s="105">
        <f t="shared" si="6"/>
        <v>6563651531.6834402</v>
      </c>
      <c r="G16" s="105">
        <f t="shared" si="4"/>
        <v>54070776.272208914</v>
      </c>
    </row>
    <row r="17" spans="1:7" x14ac:dyDescent="0.3">
      <c r="A17" s="107"/>
      <c r="B17" s="98"/>
      <c r="C17" s="94">
        <v>4</v>
      </c>
      <c r="D17" s="95">
        <v>0.25</v>
      </c>
      <c r="E17" s="96">
        <f t="shared" si="5"/>
        <v>3247.25</v>
      </c>
      <c r="F17" s="105">
        <f t="shared" si="6"/>
        <v>8204564414.6042995</v>
      </c>
      <c r="G17" s="105">
        <f t="shared" si="4"/>
        <v>67588470.340261132</v>
      </c>
    </row>
    <row r="18" spans="1:7" x14ac:dyDescent="0.3">
      <c r="A18" s="107"/>
      <c r="B18" s="98"/>
      <c r="C18" s="94">
        <v>5</v>
      </c>
      <c r="D18" s="95">
        <v>0.5</v>
      </c>
      <c r="E18" s="96">
        <f t="shared" si="5"/>
        <v>6494.5</v>
      </c>
      <c r="F18" s="105">
        <f t="shared" si="6"/>
        <v>16409128829.208599</v>
      </c>
      <c r="G18" s="105">
        <f t="shared" si="4"/>
        <v>135176940.68052226</v>
      </c>
    </row>
    <row r="19" spans="1:7" x14ac:dyDescent="0.3">
      <c r="A19" s="107"/>
      <c r="B19" s="98"/>
      <c r="C19" s="94">
        <v>6</v>
      </c>
      <c r="D19" s="95">
        <v>0.7</v>
      </c>
      <c r="E19" s="96">
        <f t="shared" si="5"/>
        <v>9092.2999999999993</v>
      </c>
      <c r="F19" s="105">
        <f t="shared" si="6"/>
        <v>22972780360.892036</v>
      </c>
      <c r="G19" s="105">
        <f t="shared" si="4"/>
        <v>189247716.95273116</v>
      </c>
    </row>
    <row r="20" spans="1:7" x14ac:dyDescent="0.3">
      <c r="A20" s="107"/>
      <c r="B20" s="98"/>
      <c r="C20" s="94">
        <v>7</v>
      </c>
      <c r="D20" s="95">
        <v>0.8</v>
      </c>
      <c r="E20" s="96">
        <f t="shared" si="5"/>
        <v>10391.200000000001</v>
      </c>
      <c r="F20" s="105">
        <f t="shared" si="6"/>
        <v>26254606126.733761</v>
      </c>
      <c r="G20" s="105">
        <f t="shared" si="4"/>
        <v>216283105.08883566</v>
      </c>
    </row>
    <row r="21" spans="1:7" ht="15" thickBot="1" x14ac:dyDescent="0.35">
      <c r="A21" s="108"/>
      <c r="B21" s="109"/>
      <c r="C21" s="110">
        <v>8</v>
      </c>
      <c r="D21" s="111">
        <v>0.9</v>
      </c>
      <c r="E21" s="112">
        <f t="shared" si="5"/>
        <v>11690.1</v>
      </c>
      <c r="F21" s="113">
        <f t="shared" si="6"/>
        <v>29536431892.575478</v>
      </c>
      <c r="G21" s="113">
        <f t="shared" si="4"/>
        <v>243318493.22494009</v>
      </c>
    </row>
    <row r="22" spans="1:7" ht="15" thickBot="1" x14ac:dyDescent="0.35"/>
    <row r="23" spans="1:7" x14ac:dyDescent="0.3">
      <c r="A23" s="224" t="s">
        <v>198</v>
      </c>
      <c r="B23" s="225"/>
      <c r="C23" s="225"/>
      <c r="D23" s="225"/>
      <c r="E23" s="225"/>
      <c r="F23" s="225"/>
      <c r="G23" s="226"/>
    </row>
    <row r="24" spans="1:7" x14ac:dyDescent="0.3">
      <c r="A24" s="107" t="s">
        <v>195</v>
      </c>
      <c r="B24" s="187">
        <f>'7. National Cost Savings'!D6</f>
        <v>9640</v>
      </c>
      <c r="C24" s="92" t="s">
        <v>189</v>
      </c>
      <c r="D24" s="93" t="s">
        <v>190</v>
      </c>
      <c r="E24" s="93" t="s">
        <v>191</v>
      </c>
      <c r="F24" s="97" t="s">
        <v>192</v>
      </c>
      <c r="G24" s="189" t="s">
        <v>214</v>
      </c>
    </row>
    <row r="25" spans="1:7" x14ac:dyDescent="0.3">
      <c r="A25" s="104" t="s">
        <v>194</v>
      </c>
      <c r="B25" s="100">
        <f>'7. National Cost Savings'!D4</f>
        <v>4200715.7009039335</v>
      </c>
      <c r="C25" s="94">
        <v>1</v>
      </c>
      <c r="D25" s="95">
        <v>0.05</v>
      </c>
      <c r="E25" s="96">
        <f>$B$24*D25</f>
        <v>482</v>
      </c>
      <c r="F25" s="96">
        <f>$B$25*E25</f>
        <v>2024744967.835696</v>
      </c>
      <c r="G25" s="105">
        <f t="shared" ref="G25:G32" si="7">F25/$O$1</f>
        <v>16679668.571016526</v>
      </c>
    </row>
    <row r="26" spans="1:7" x14ac:dyDescent="0.3">
      <c r="A26" s="106" t="s">
        <v>196</v>
      </c>
      <c r="B26" s="101">
        <f>'7. National Cost Savings'!D9</f>
        <v>0.41</v>
      </c>
      <c r="C26" s="94">
        <v>2</v>
      </c>
      <c r="D26" s="95">
        <v>0.1</v>
      </c>
      <c r="E26" s="96">
        <f t="shared" ref="E26:E31" si="8">$B$24*D26</f>
        <v>964</v>
      </c>
      <c r="F26" s="96">
        <f t="shared" ref="F26:F32" si="9">$B$25*E26</f>
        <v>4049489935.671392</v>
      </c>
      <c r="G26" s="105">
        <f t="shared" si="7"/>
        <v>33359337.142033052</v>
      </c>
    </row>
    <row r="27" spans="1:7" x14ac:dyDescent="0.3">
      <c r="A27" s="107"/>
      <c r="B27" s="188"/>
      <c r="C27" s="97">
        <v>3</v>
      </c>
      <c r="D27" s="95">
        <v>0.2</v>
      </c>
      <c r="E27" s="96">
        <f t="shared" si="8"/>
        <v>1928</v>
      </c>
      <c r="F27" s="96">
        <f t="shared" si="9"/>
        <v>8098979871.3427839</v>
      </c>
      <c r="G27" s="105">
        <f t="shared" si="7"/>
        <v>66718674.284066103</v>
      </c>
    </row>
    <row r="28" spans="1:7" x14ac:dyDescent="0.3">
      <c r="A28" s="107"/>
      <c r="B28" s="98"/>
      <c r="C28" s="94">
        <v>4</v>
      </c>
      <c r="D28" s="95">
        <v>0.41</v>
      </c>
      <c r="E28" s="96">
        <f t="shared" si="8"/>
        <v>3952.3999999999996</v>
      </c>
      <c r="F28" s="96">
        <f t="shared" si="9"/>
        <v>16602908736.252705</v>
      </c>
      <c r="G28" s="105">
        <f t="shared" si="7"/>
        <v>136773282.28233549</v>
      </c>
    </row>
    <row r="29" spans="1:7" x14ac:dyDescent="0.3">
      <c r="A29" s="107"/>
      <c r="B29" s="98"/>
      <c r="C29" s="94">
        <v>5</v>
      </c>
      <c r="D29" s="95">
        <v>0.5</v>
      </c>
      <c r="E29" s="96">
        <f t="shared" si="8"/>
        <v>4820</v>
      </c>
      <c r="F29" s="96">
        <f t="shared" si="9"/>
        <v>20247449678.35696</v>
      </c>
      <c r="G29" s="105">
        <f t="shared" si="7"/>
        <v>166796685.71016526</v>
      </c>
    </row>
    <row r="30" spans="1:7" x14ac:dyDescent="0.3">
      <c r="A30" s="107"/>
      <c r="B30" s="98"/>
      <c r="C30" s="94">
        <v>6</v>
      </c>
      <c r="D30" s="95">
        <v>0.7</v>
      </c>
      <c r="E30" s="96">
        <f t="shared" si="8"/>
        <v>6748</v>
      </c>
      <c r="F30" s="96">
        <f t="shared" si="9"/>
        <v>28346429549.699741</v>
      </c>
      <c r="G30" s="105">
        <f t="shared" si="7"/>
        <v>233515359.99423134</v>
      </c>
    </row>
    <row r="31" spans="1:7" x14ac:dyDescent="0.3">
      <c r="A31" s="107"/>
      <c r="B31" s="98"/>
      <c r="C31" s="94">
        <v>7</v>
      </c>
      <c r="D31" s="95">
        <v>0.8</v>
      </c>
      <c r="E31" s="96">
        <f t="shared" si="8"/>
        <v>7712</v>
      </c>
      <c r="F31" s="96">
        <f t="shared" si="9"/>
        <v>32395919485.371136</v>
      </c>
      <c r="G31" s="105">
        <f t="shared" si="7"/>
        <v>266874697.13626441</v>
      </c>
    </row>
    <row r="32" spans="1:7" ht="15" thickBot="1" x14ac:dyDescent="0.35">
      <c r="A32" s="108"/>
      <c r="B32" s="109"/>
      <c r="C32" s="110">
        <v>8</v>
      </c>
      <c r="D32" s="111">
        <v>0.9</v>
      </c>
      <c r="E32" s="112">
        <f>$B$24*D32</f>
        <v>8676</v>
      </c>
      <c r="F32" s="112">
        <f t="shared" si="9"/>
        <v>36445409421.042526</v>
      </c>
      <c r="G32" s="113">
        <f t="shared" si="7"/>
        <v>300234034.27829742</v>
      </c>
    </row>
  </sheetData>
  <dataConsolidate/>
  <mergeCells count="4">
    <mergeCell ref="A1:G1"/>
    <mergeCell ref="A12:G12"/>
    <mergeCell ref="A23:G23"/>
    <mergeCell ref="J1:M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vt:lpstr>
      <vt:lpstr>1. Direct Cost Savings</vt:lpstr>
      <vt:lpstr>2. Indirect Cost Savings</vt:lpstr>
      <vt:lpstr>3. Intangible Cost Savings</vt:lpstr>
      <vt:lpstr>4. Provider Cost Difference</vt:lpstr>
      <vt:lpstr>5. Discounted Future Income</vt:lpstr>
      <vt:lpstr>6. Societal Costs</vt:lpstr>
      <vt:lpstr>7. National Cost Savings</vt:lpstr>
      <vt:lpstr>8. Sensitivity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Quazi Nazmus Sakib</dc:creator>
  <cp:lastModifiedBy>Quazi Nazmus Sakib</cp:lastModifiedBy>
  <dcterms:created xsi:type="dcterms:W3CDTF">2024-10-14T02:44:00Z</dcterms:created>
  <dcterms:modified xsi:type="dcterms:W3CDTF">2025-06-03T04:09:35Z</dcterms:modified>
</cp:coreProperties>
</file>